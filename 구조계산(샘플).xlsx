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. Cursor\01. K-EMBANK\slope\"/>
    </mc:Choice>
  </mc:AlternateContent>
  <xr:revisionPtr revIDLastSave="0" documentId="8_{55A33F94-3D92-479D-98D7-58C80D7A6AFA}" xr6:coauthVersionLast="47" xr6:coauthVersionMax="47" xr10:uidLastSave="{00000000-0000-0000-0000-000000000000}"/>
  <bookViews>
    <workbookView xWindow="9045" yWindow="2595" windowWidth="28800" windowHeight="15435" xr2:uid="{ECED1E24-6891-4F28-A5E1-11C69958B82B}"/>
  </bookViews>
  <sheets>
    <sheet name="가호안(1)(I-I') 원호활동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ort" localSheetId="0" hidden="1">#REF!</definedName>
    <definedName name="_Sort" hidden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#N/A</definedName>
    <definedName name="\x">#REF!</definedName>
    <definedName name="\y">#N/A</definedName>
    <definedName name="\z">#N/A</definedName>
    <definedName name="aaa">#REF!</definedName>
    <definedName name="aaaa">#REF!</definedName>
    <definedName name="APP.LLW">#REF!</definedName>
    <definedName name="B">#REF!</definedName>
    <definedName name="bbb">#REF!</definedName>
    <definedName name="C0">#REF!</definedName>
    <definedName name="cable높이">'[2]-15.0'!$T$27</definedName>
    <definedName name="CB">#REF!</definedName>
    <definedName name="ccc">#REF!</definedName>
    <definedName name="c값">IF(#REF!&lt;1.5,#REF!,#REF!)</definedName>
    <definedName name="D">#REF!</definedName>
    <definedName name="DDD">'[3]1.2.1 마루높이결정'!$Q$192</definedName>
    <definedName name="DEPTH">#REF!</definedName>
    <definedName name="Fs">#REF!</definedName>
    <definedName name="g">#REF!</definedName>
    <definedName name="gamma1">#REF!</definedName>
    <definedName name="gamma2">#REF!</definedName>
    <definedName name="H">#REF!</definedName>
    <definedName name="HH">#REF!</definedName>
    <definedName name="HHH">#REF!</definedName>
    <definedName name="HHR">#REF!</definedName>
    <definedName name="HHU">#REF!</definedName>
    <definedName name="HV">#REF!</definedName>
    <definedName name="hw">#REF!</definedName>
    <definedName name="HWL">#REF!</definedName>
    <definedName name="kh_등가">#REF!</definedName>
    <definedName name="kh_변위">#REF!</definedName>
    <definedName name="L">#REF!</definedName>
    <definedName name="level0">#REF!</definedName>
    <definedName name="level1">#REF!</definedName>
    <definedName name="level2">#REF!</definedName>
    <definedName name="level3">#REF!</definedName>
    <definedName name="level4">#REF!</definedName>
    <definedName name="level5">#REF!</definedName>
    <definedName name="m">#REF!</definedName>
    <definedName name="Nc">#REF!</definedName>
    <definedName name="nu">#REF!</definedName>
    <definedName name="_xlnm.Print_Area" localSheetId="0">'가호안(1)(I-I'') 원호활동 '!$B$1:$AI$65</definedName>
    <definedName name="_xlnm.Print_Area">#REF!</definedName>
    <definedName name="PRINT_AREA_MI">#REF!</definedName>
    <definedName name="qe">#REF!</definedName>
    <definedName name="rh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sdsa">#REF!</definedName>
    <definedName name="T">#REF!</definedName>
    <definedName name="UW_210">#REF!</definedName>
    <definedName name="w0">#REF!</definedName>
    <definedName name="We">#REF!</definedName>
    <definedName name="Wn">#REF!</definedName>
    <definedName name="x">[4]복공계산!#REF!</definedName>
    <definedName name="z">#REF!</definedName>
    <definedName name="간격">'[5]매립부(철판)'!$E$70</definedName>
    <definedName name="강도">#REF!</definedName>
    <definedName name="강재덮개">#REF!</definedName>
    <definedName name="계선곡주">#REF!</definedName>
    <definedName name="곡주간격">#REF!</definedName>
    <definedName name="공중진도">#REF!</definedName>
    <definedName name="구배">#REF!</definedName>
    <definedName name="구조물">'[6]4.2.1 마루높이 검토'!$F$19</definedName>
    <definedName name="구조물경사">#REF!</definedName>
    <definedName name="그림">IF(#REF!&gt;1.5,#REF!,#REF!)</definedName>
    <definedName name="그림1">IF(#REF!&lt;1.5,#REF!,#REF!)</definedName>
    <definedName name="길이">#REF!</definedName>
    <definedName name="덮개H">#REF!</definedName>
    <definedName name="덮개종류">#REF!</definedName>
    <definedName name="동토압계산">#REF!</definedName>
    <definedName name="뒷채움1">#REF!</definedName>
    <definedName name="뒷채움2">#REF!</definedName>
    <definedName name="ㅁ1">#REF!</definedName>
    <definedName name="마루높이">#REF!</definedName>
    <definedName name="마운드전면구배">#REF!</definedName>
    <definedName name="마운드전면지반폭">#REF!</definedName>
    <definedName name="마운드전면폭">#REF!</definedName>
    <definedName name="무콘수상">2.3</definedName>
    <definedName name="방파제경사">#REF!</definedName>
    <definedName name="방파제폭">'[7]4.3.1 마루높이결정'!#REF!</definedName>
    <definedName name="변환고">#REF!</definedName>
    <definedName name="사석수상">1.8</definedName>
    <definedName name="상부길이">#REF!</definedName>
    <definedName name="상부폭">#REF!</definedName>
    <definedName name="상재하중상시">#REF!</definedName>
    <definedName name="상재하중지진시">#REF!</definedName>
    <definedName name="상치하단">#REF!</definedName>
    <definedName name="설계고조위">#REF!</definedName>
    <definedName name="설계수심">#REF!</definedName>
    <definedName name="설치수심">'[8]3.1.1 마루높이결정'!$S$26</definedName>
    <definedName name="수강10아">#REF!</definedName>
    <definedName name="수강10위">#REF!</definedName>
    <definedName name="수강4아">#REF!</definedName>
    <definedName name="수강4위">#REF!</definedName>
    <definedName name="수강5아">#REF!</definedName>
    <definedName name="수강5위">#REF!</definedName>
    <definedName name="수강6아">#REF!</definedName>
    <definedName name="수강6위">#REF!</definedName>
    <definedName name="수강7아">#REF!</definedName>
    <definedName name="수강7위">#REF!</definedName>
    <definedName name="수강8아">#REF!</definedName>
    <definedName name="수강8위">#REF!</definedName>
    <definedName name="수강9아">#REF!</definedName>
    <definedName name="수강9위">#REF!</definedName>
    <definedName name="수동10">#REF!</definedName>
    <definedName name="수동6">#REF!</definedName>
    <definedName name="수동7">#REF!</definedName>
    <definedName name="수동8">#REF!</definedName>
    <definedName name="수동9">#REF!</definedName>
    <definedName name="수중진도">#REF!</definedName>
    <definedName name="수중진도점토">#REF!</definedName>
    <definedName name="슬리트종격실수">#REF!</definedName>
    <definedName name="심해파장">'[8]3.1.1 마루높이결정'!$S$19</definedName>
    <definedName name="우길이">#REF!</definedName>
    <definedName name="유수실덮개H">#REF!</definedName>
    <definedName name="유의파고">#REF!</definedName>
    <definedName name="유출방지공">#REF!</definedName>
    <definedName name="잔류수압">#REF!</definedName>
    <definedName name="잔류수압강도">#REF!</definedName>
    <definedName name="잔류수위">#REF!</definedName>
    <definedName name="저판두께">#REF!</definedName>
    <definedName name="전1">#REF!</definedName>
    <definedName name="전2">#REF!</definedName>
    <definedName name="전3">#REF!</definedName>
    <definedName name="전면후팅">#REF!</definedName>
    <definedName name="점착력1">#REF!</definedName>
    <definedName name="점착력10">#REF!</definedName>
    <definedName name="점착력2">#REF!</definedName>
    <definedName name="점착력3">#REF!</definedName>
    <definedName name="점착력4">#REF!</definedName>
    <definedName name="점착력5">#REF!</definedName>
    <definedName name="점착력6">#REF!</definedName>
    <definedName name="점착력7">#REF!</definedName>
    <definedName name="점착력8">#REF!</definedName>
    <definedName name="점착력9">#REF!</definedName>
    <definedName name="점토">#REF!</definedName>
    <definedName name="점토층">#REF!</definedName>
    <definedName name="종격실수">#REF!</definedName>
    <definedName name="좌길이">#REF!</definedName>
    <definedName name="주강10아">#REF!</definedName>
    <definedName name="주강10위">#REF!</definedName>
    <definedName name="주강1아">#REF!</definedName>
    <definedName name="주강1위">#REF!</definedName>
    <definedName name="주강2아">#REF!</definedName>
    <definedName name="주강2위">#REF!</definedName>
    <definedName name="주강3아">#REF!</definedName>
    <definedName name="주강3위">#REF!</definedName>
    <definedName name="주강4아">#REF!</definedName>
    <definedName name="주강4위">#REF!</definedName>
    <definedName name="주강5아">#REF!</definedName>
    <definedName name="주강5위">#REF!</definedName>
    <definedName name="주강6아">#REF!</definedName>
    <definedName name="주강6위">#REF!</definedName>
    <definedName name="주강7아">#REF!</definedName>
    <definedName name="주강7위">#REF!</definedName>
    <definedName name="주강8아">#REF!</definedName>
    <definedName name="주강8위">#REF!</definedName>
    <definedName name="주강9아">#REF!</definedName>
    <definedName name="주강9위">#REF!</definedName>
    <definedName name="주기">#REF!</definedName>
    <definedName name="지수강10아">#REF!</definedName>
    <definedName name="지수강10위">#REF!</definedName>
    <definedName name="지수강8아">#REF!</definedName>
    <definedName name="지수강8위">#REF!</definedName>
    <definedName name="지수강9아">#REF!</definedName>
    <definedName name="지수강9위">#REF!</definedName>
    <definedName name="지수동1">#REF!</definedName>
    <definedName name="지수동10">#REF!</definedName>
    <definedName name="지수동2">#REF!</definedName>
    <definedName name="지수동3">#REF!</definedName>
    <definedName name="지수동4">#REF!</definedName>
    <definedName name="지수동5">#REF!</definedName>
    <definedName name="지수동6">#REF!</definedName>
    <definedName name="지수동7">#REF!</definedName>
    <definedName name="지수동8">#REF!</definedName>
    <definedName name="지수동9">#REF!</definedName>
    <definedName name="지점착력10">#REF!</definedName>
    <definedName name="지점착력4">#REF!</definedName>
    <definedName name="지점착력5">#REF!</definedName>
    <definedName name="지점착력6">#REF!</definedName>
    <definedName name="지점착력7">#REF!</definedName>
    <definedName name="지점착력8">#REF!</definedName>
    <definedName name="지점착력9">#REF!</definedName>
    <definedName name="지주강10아">#REF!</definedName>
    <definedName name="지주강10위">#REF!</definedName>
    <definedName name="지주강1아">#REF!</definedName>
    <definedName name="지주강1위">#REF!</definedName>
    <definedName name="지주강2아">#REF!</definedName>
    <definedName name="지주강2위">#REF!</definedName>
    <definedName name="지주강3아">#REF!</definedName>
    <definedName name="지주강3위">#REF!</definedName>
    <definedName name="지주강4아">#REF!</definedName>
    <definedName name="지주강4위">#REF!</definedName>
    <definedName name="지주강5아">#REF!</definedName>
    <definedName name="지주강5위">#REF!</definedName>
    <definedName name="지주강6아">#REF!</definedName>
    <definedName name="지주강6위">#REF!</definedName>
    <definedName name="지주강7아">#REF!</definedName>
    <definedName name="지주강7위">#REF!</definedName>
    <definedName name="지주강8아">#REF!</definedName>
    <definedName name="지주강8위">#REF!</definedName>
    <definedName name="지주강9아">#REF!</definedName>
    <definedName name="지주강9위">#REF!</definedName>
    <definedName name="지주동1">#REF!</definedName>
    <definedName name="지주동10">#REF!</definedName>
    <definedName name="지주동2">#REF!</definedName>
    <definedName name="지주동3">#REF!</definedName>
    <definedName name="지주동4">#REF!</definedName>
    <definedName name="지주동5">#REF!</definedName>
    <definedName name="지주동6">#REF!</definedName>
    <definedName name="지주동7">#REF!</definedName>
    <definedName name="지주동8">#REF!</definedName>
    <definedName name="지주동9">#REF!</definedName>
    <definedName name="천단고">#REF!</definedName>
    <definedName name="치환깊이">#REF!</definedName>
    <definedName name="케이블높이">#REF!</definedName>
    <definedName name="케이슨Mx">#REF!</definedName>
    <definedName name="케이슨My">#REF!</definedName>
    <definedName name="케이슨W">#REF!</definedName>
    <definedName name="케이슨종류">#REF!</definedName>
    <definedName name="파압">#REF!</definedName>
    <definedName name="파일" localSheetId="0" hidden="1">#REF!</definedName>
    <definedName name="파일" hidden="1">#REF!</definedName>
    <definedName name="파일천단고">#REF!</definedName>
    <definedName name="파향">'[9]4.2.1 마루높이 검토'!$S$23</definedName>
    <definedName name="평균수심">#REF!</definedName>
    <definedName name="폭1">#REF!</definedName>
    <definedName name="폭2">#REF!</definedName>
    <definedName name="피복석두께">#REF!</definedName>
    <definedName name="하늘">#REF!</definedName>
    <definedName name="하부길이">#REF!</definedName>
    <definedName name="하부폭">#REF!</definedName>
    <definedName name="해수단위중량">1.03</definedName>
    <definedName name="해저경사">'[6]4.2.1 마루높이 검토'!$N$30</definedName>
    <definedName name="환산심해파고">'[8]3.1.1 마루높이결정'!$R$71</definedName>
    <definedName name="횡격실수">#REF!</definedName>
    <definedName name="후1">#REF!</definedName>
    <definedName name="후2">#REF!</definedName>
    <definedName name="후3">#REF!</definedName>
    <definedName name="후면후팅">#REF!</definedName>
    <definedName name="ㅗ14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5" i="1" l="1"/>
  <c r="Z54" i="1"/>
  <c r="Z43" i="1"/>
  <c r="AD29" i="1"/>
  <c r="U29" i="1"/>
  <c r="L29" i="1"/>
  <c r="AD28" i="1"/>
  <c r="U28" i="1"/>
  <c r="L28" i="1"/>
  <c r="AD27" i="1"/>
  <c r="L27" i="1"/>
</calcChain>
</file>

<file path=xl/sharedStrings.xml><?xml version="1.0" encoding="utf-8"?>
<sst xmlns="http://schemas.openxmlformats.org/spreadsheetml/2006/main" count="77" uniqueCount="45">
  <si>
    <t>나. 가호안 기초지반 안정검토</t>
    <phoneticPr fontId="3" type="noConversion"/>
  </si>
  <si>
    <t>1. 가호안(1) I-I' 기초지반 안정 검토</t>
    <phoneticPr fontId="3" type="noConversion"/>
  </si>
  <si>
    <t xml:space="preserve">  1.1. 원호활동 검토</t>
    <phoneticPr fontId="3" type="noConversion"/>
  </si>
  <si>
    <t>1) 검토조건</t>
    <phoneticPr fontId="3" type="noConversion"/>
  </si>
  <si>
    <t xml:space="preserve"> 가) 사용재료 설계정수</t>
    <phoneticPr fontId="3" type="noConversion"/>
  </si>
  <si>
    <t>구분</t>
    <phoneticPr fontId="8" type="noConversion"/>
  </si>
  <si>
    <t>단위중량</t>
    <phoneticPr fontId="8" type="noConversion"/>
  </si>
  <si>
    <t>전단강도</t>
    <phoneticPr fontId="8" type="noConversion"/>
  </si>
  <si>
    <t>비고</t>
    <phoneticPr fontId="8" type="noConversion"/>
  </si>
  <si>
    <r>
      <t>γ</t>
    </r>
    <r>
      <rPr>
        <b/>
        <vertAlign val="subscript"/>
        <sz val="11"/>
        <rFont val="맑은 고딕"/>
        <family val="3"/>
        <charset val="129"/>
        <scheme val="major"/>
      </rPr>
      <t>t</t>
    </r>
    <r>
      <rPr>
        <b/>
        <sz val="11"/>
        <rFont val="맑은 고딕"/>
        <family val="3"/>
        <charset val="129"/>
        <scheme val="major"/>
      </rPr>
      <t>,(kN/㎥)</t>
    </r>
    <phoneticPr fontId="8" type="noConversion"/>
  </si>
  <si>
    <r>
      <t>γ</t>
    </r>
    <r>
      <rPr>
        <b/>
        <vertAlign val="subscript"/>
        <sz val="11"/>
        <rFont val="맑은 고딕"/>
        <family val="3"/>
        <charset val="129"/>
        <scheme val="major"/>
      </rPr>
      <t>sat</t>
    </r>
    <r>
      <rPr>
        <b/>
        <sz val="11"/>
        <rFont val="맑은 고딕"/>
        <family val="3"/>
        <charset val="129"/>
        <scheme val="major"/>
      </rPr>
      <t>(kN/㎥)</t>
    </r>
    <phoneticPr fontId="8" type="noConversion"/>
  </si>
  <si>
    <t>Φ(deg)</t>
    <phoneticPr fontId="8" type="noConversion"/>
  </si>
  <si>
    <t>c(kN/㎡)</t>
    <phoneticPr fontId="8" type="noConversion"/>
  </si>
  <si>
    <t>무근콘크리트</t>
    <phoneticPr fontId="8" type="noConversion"/>
  </si>
  <si>
    <t>-</t>
    <phoneticPr fontId="8" type="noConversion"/>
  </si>
  <si>
    <t>와록블록</t>
    <phoneticPr fontId="8" type="noConversion"/>
  </si>
  <si>
    <t>재하토</t>
    <phoneticPr fontId="8" type="noConversion"/>
  </si>
  <si>
    <t>-</t>
    <phoneticPr fontId="3" type="noConversion"/>
  </si>
  <si>
    <t>매립토</t>
    <phoneticPr fontId="3" type="noConversion"/>
  </si>
  <si>
    <t>기초사석</t>
    <phoneticPr fontId="8" type="noConversion"/>
  </si>
  <si>
    <t>40(35)</t>
    <phoneticPr fontId="3" type="noConversion"/>
  </si>
  <si>
    <t>-(20)</t>
    <phoneticPr fontId="3" type="noConversion"/>
  </si>
  <si>
    <t>()는 편심시</t>
    <phoneticPr fontId="8" type="noConversion"/>
  </si>
  <si>
    <t>피복석</t>
    <phoneticPr fontId="8" type="noConversion"/>
  </si>
  <si>
    <t>뒤채움사석</t>
    <phoneticPr fontId="8" type="noConversion"/>
  </si>
  <si>
    <t>필터사석</t>
    <phoneticPr fontId="8" type="noConversion"/>
  </si>
  <si>
    <t xml:space="preserve"> 나) 원지반 설계정수</t>
    <phoneticPr fontId="3" type="noConversion"/>
  </si>
  <si>
    <t>점토층</t>
    <phoneticPr fontId="8" type="noConversion"/>
  </si>
  <si>
    <t>퇴적모래</t>
    <phoneticPr fontId="3" type="noConversion"/>
  </si>
  <si>
    <t>퇴적자갈</t>
    <phoneticPr fontId="3" type="noConversion"/>
  </si>
  <si>
    <t>풍화토</t>
    <phoneticPr fontId="3" type="noConversion"/>
  </si>
  <si>
    <t>2) 원호활동 검토결과 요약</t>
    <phoneticPr fontId="3" type="noConversion"/>
  </si>
  <si>
    <t>구   분</t>
    <phoneticPr fontId="8" type="noConversion"/>
  </si>
  <si>
    <t>검토결과</t>
    <phoneticPr fontId="8" type="noConversion"/>
  </si>
  <si>
    <t>기준안전율</t>
    <phoneticPr fontId="8" type="noConversion"/>
  </si>
  <si>
    <t>판   정</t>
    <phoneticPr fontId="8" type="noConversion"/>
  </si>
  <si>
    <t>시공시</t>
    <phoneticPr fontId="3" type="noConversion"/>
  </si>
  <si>
    <t>상시</t>
    <phoneticPr fontId="3" type="noConversion"/>
  </si>
  <si>
    <t>지진시</t>
    <phoneticPr fontId="3" type="noConversion"/>
  </si>
  <si>
    <t>3) 원호활동 검토결과</t>
    <phoneticPr fontId="3" type="noConversion"/>
  </si>
  <si>
    <t>시공시</t>
    <phoneticPr fontId="8" type="noConversion"/>
  </si>
  <si>
    <t>검토안전율</t>
    <phoneticPr fontId="8" type="noConversion"/>
  </si>
  <si>
    <t>판정</t>
    <phoneticPr fontId="8" type="noConversion"/>
  </si>
  <si>
    <t>상시</t>
    <phoneticPr fontId="8" type="noConversion"/>
  </si>
  <si>
    <t>지진시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</si>
</sst>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 "/>
    <numFmt numFmtId="177" formatCode="0.000"/>
    <numFmt numFmtId="178" formatCode="0.000_ 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돋움"/>
      <family val="3"/>
      <charset val="129"/>
    </font>
    <font>
      <b/>
      <vertAlign val="subscript"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2" applyFont="1">
      <alignment vertical="center"/>
    </xf>
    <xf numFmtId="0" fontId="6" fillId="0" borderId="0" xfId="1" applyFont="1">
      <alignment vertical="center"/>
    </xf>
    <xf numFmtId="0" fontId="7" fillId="0" borderId="0" xfId="2" quotePrefix="1" applyFont="1">
      <alignment vertical="center"/>
    </xf>
    <xf numFmtId="0" fontId="5" fillId="0" borderId="0" xfId="3" applyFont="1">
      <alignment vertical="center"/>
    </xf>
    <xf numFmtId="0" fontId="6" fillId="0" borderId="0" xfId="2" applyFont="1">
      <alignment vertical="center"/>
    </xf>
    <xf numFmtId="0" fontId="6" fillId="0" borderId="0" xfId="3" quotePrefix="1" applyFont="1">
      <alignment vertical="center"/>
    </xf>
    <xf numFmtId="0" fontId="5" fillId="0" borderId="0" xfId="1" quotePrefix="1" applyFo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176" fontId="5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5" fillId="0" borderId="0" xfId="2" applyFont="1" applyAlignment="1">
      <alignment vertical="top"/>
    </xf>
    <xf numFmtId="177" fontId="5" fillId="0" borderId="0" xfId="2" applyNumberFormat="1" applyFont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6" fillId="2" borderId="2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/>
    </xf>
    <xf numFmtId="0" fontId="6" fillId="2" borderId="5" xfId="4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center" vertical="center"/>
    </xf>
    <xf numFmtId="0" fontId="6" fillId="2" borderId="7" xfId="4" applyFont="1" applyFill="1" applyBorder="1" applyAlignment="1">
      <alignment horizontal="center" vertical="center"/>
    </xf>
    <xf numFmtId="0" fontId="6" fillId="2" borderId="8" xfId="4" applyFont="1" applyFill="1" applyBorder="1" applyAlignment="1">
      <alignment horizontal="center" vertical="center"/>
    </xf>
    <xf numFmtId="0" fontId="6" fillId="2" borderId="9" xfId="4" applyFont="1" applyFill="1" applyBorder="1" applyAlignment="1">
      <alignment horizontal="center" vertical="center"/>
    </xf>
    <xf numFmtId="0" fontId="6" fillId="2" borderId="10" xfId="4" applyFont="1" applyFill="1" applyBorder="1" applyAlignment="1">
      <alignment horizontal="center" vertical="center"/>
    </xf>
    <xf numFmtId="0" fontId="6" fillId="2" borderId="11" xfId="4" applyFont="1" applyFill="1" applyBorder="1" applyAlignment="1">
      <alignment horizontal="center" vertical="center"/>
    </xf>
    <xf numFmtId="0" fontId="6" fillId="2" borderId="12" xfId="4" applyFont="1" applyFill="1" applyBorder="1" applyAlignment="1">
      <alignment horizontal="center" vertical="center"/>
    </xf>
    <xf numFmtId="0" fontId="6" fillId="2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3" borderId="15" xfId="4" applyFont="1" applyFill="1" applyBorder="1" applyAlignment="1">
      <alignment horizontal="center" vertical="center"/>
    </xf>
    <xf numFmtId="0" fontId="5" fillId="3" borderId="16" xfId="4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5" fillId="0" borderId="18" xfId="4" quotePrefix="1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/>
    </xf>
    <xf numFmtId="0" fontId="5" fillId="3" borderId="21" xfId="4" applyFont="1" applyFill="1" applyBorder="1" applyAlignment="1">
      <alignment horizontal="center" vertical="center"/>
    </xf>
    <xf numFmtId="0" fontId="5" fillId="3" borderId="22" xfId="4" applyFont="1" applyFill="1" applyBorder="1" applyAlignment="1">
      <alignment horizontal="center" vertical="center"/>
    </xf>
    <xf numFmtId="2" fontId="5" fillId="0" borderId="23" xfId="4" applyNumberFormat="1" applyFont="1" applyBorder="1" applyAlignment="1">
      <alignment horizontal="center" vertical="center"/>
    </xf>
    <xf numFmtId="0" fontId="5" fillId="0" borderId="23" xfId="4" quotePrefix="1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23" xfId="4" applyFont="1" applyFill="1" applyBorder="1" applyAlignment="1">
      <alignment horizontal="center" vertical="center"/>
    </xf>
    <xf numFmtId="2" fontId="5" fillId="0" borderId="23" xfId="4" quotePrefix="1" applyNumberFormat="1" applyFont="1" applyBorder="1" applyAlignment="1">
      <alignment horizontal="center" vertical="center"/>
    </xf>
    <xf numFmtId="0" fontId="5" fillId="3" borderId="26" xfId="4" applyFont="1" applyFill="1" applyBorder="1" applyAlignment="1">
      <alignment horizontal="center" vertical="center"/>
    </xf>
    <xf numFmtId="0" fontId="5" fillId="3" borderId="27" xfId="4" applyFont="1" applyFill="1" applyBorder="1" applyAlignment="1">
      <alignment horizontal="center" vertical="center"/>
    </xf>
    <xf numFmtId="2" fontId="5" fillId="0" borderId="27" xfId="4" applyNumberFormat="1" applyFont="1" applyBorder="1" applyAlignment="1">
      <alignment horizontal="center" vertical="center"/>
    </xf>
    <xf numFmtId="0" fontId="5" fillId="0" borderId="27" xfId="4" quotePrefix="1" applyFont="1" applyBorder="1" applyAlignment="1">
      <alignment horizontal="center" vertical="center"/>
    </xf>
    <xf numFmtId="0" fontId="5" fillId="0" borderId="27" xfId="4" applyFont="1" applyBorder="1" applyAlignment="1">
      <alignment horizontal="center" vertical="center"/>
    </xf>
    <xf numFmtId="0" fontId="5" fillId="0" borderId="28" xfId="4" applyFont="1" applyBorder="1" applyAlignment="1">
      <alignment horizontal="center" vertical="center"/>
    </xf>
    <xf numFmtId="0" fontId="10" fillId="0" borderId="0" xfId="2" applyFont="1" applyAlignment="1">
      <alignment horizontal="left" vertical="top"/>
    </xf>
    <xf numFmtId="0" fontId="5" fillId="0" borderId="0" xfId="2" quotePrefix="1" applyFont="1">
      <alignment vertical="center"/>
    </xf>
    <xf numFmtId="0" fontId="11" fillId="0" borderId="0" xfId="0" applyFont="1">
      <alignment vertical="center"/>
    </xf>
    <xf numFmtId="2" fontId="5" fillId="0" borderId="18" xfId="4" applyNumberFormat="1" applyFont="1" applyBorder="1" applyAlignment="1">
      <alignment horizontal="center" vertical="center"/>
    </xf>
    <xf numFmtId="2" fontId="5" fillId="0" borderId="18" xfId="5" applyNumberFormat="1" applyFont="1" applyFill="1" applyBorder="1" applyAlignment="1">
      <alignment horizontal="center" vertical="center"/>
    </xf>
    <xf numFmtId="2" fontId="5" fillId="0" borderId="21" xfId="4" applyNumberFormat="1" applyFont="1" applyBorder="1" applyAlignment="1">
      <alignment horizontal="center" vertical="center"/>
    </xf>
    <xf numFmtId="2" fontId="5" fillId="0" borderId="22" xfId="4" applyNumberFormat="1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5" fillId="0" borderId="21" xfId="4" quotePrefix="1" applyFont="1" applyBorder="1" applyAlignment="1">
      <alignment horizontal="center" vertical="center"/>
    </xf>
    <xf numFmtId="0" fontId="5" fillId="0" borderId="29" xfId="4" quotePrefix="1" applyFont="1" applyBorder="1" applyAlignment="1">
      <alignment horizontal="center" vertical="center"/>
    </xf>
    <xf numFmtId="0" fontId="5" fillId="3" borderId="30" xfId="4" applyFont="1" applyFill="1" applyBorder="1" applyAlignment="1">
      <alignment horizontal="center" vertical="center"/>
    </xf>
    <xf numFmtId="0" fontId="5" fillId="3" borderId="31" xfId="4" applyFont="1" applyFill="1" applyBorder="1" applyAlignment="1">
      <alignment horizontal="center" vertical="center"/>
    </xf>
    <xf numFmtId="0" fontId="5" fillId="3" borderId="32" xfId="4" applyFont="1" applyFill="1" applyBorder="1" applyAlignment="1">
      <alignment horizontal="center" vertical="center"/>
    </xf>
    <xf numFmtId="2" fontId="5" fillId="0" borderId="33" xfId="4" applyNumberFormat="1" applyFont="1" applyBorder="1" applyAlignment="1">
      <alignment horizontal="center" vertical="center"/>
    </xf>
    <xf numFmtId="2" fontId="5" fillId="0" borderId="31" xfId="4" applyNumberFormat="1" applyFont="1" applyBorder="1" applyAlignment="1">
      <alignment horizontal="center" vertical="center"/>
    </xf>
    <xf numFmtId="2" fontId="5" fillId="0" borderId="32" xfId="4" applyNumberFormat="1" applyFont="1" applyBorder="1" applyAlignment="1">
      <alignment horizontal="center" vertical="center"/>
    </xf>
    <xf numFmtId="0" fontId="5" fillId="0" borderId="33" xfId="4" quotePrefix="1" applyFont="1" applyBorder="1" applyAlignment="1">
      <alignment horizontal="center" vertical="center"/>
    </xf>
    <xf numFmtId="0" fontId="5" fillId="0" borderId="31" xfId="4" quotePrefix="1" applyFont="1" applyBorder="1" applyAlignment="1">
      <alignment horizontal="center" vertical="center"/>
    </xf>
    <xf numFmtId="0" fontId="5" fillId="0" borderId="34" xfId="4" quotePrefix="1" applyFont="1" applyBorder="1" applyAlignment="1">
      <alignment horizontal="center" vertical="center"/>
    </xf>
    <xf numFmtId="0" fontId="5" fillId="0" borderId="0" xfId="4" applyFont="1">
      <alignment vertical="center"/>
    </xf>
    <xf numFmtId="0" fontId="5" fillId="0" borderId="0" xfId="6" applyFont="1">
      <alignment vertical="center"/>
    </xf>
    <xf numFmtId="0" fontId="6" fillId="2" borderId="35" xfId="6" applyFont="1" applyFill="1" applyBorder="1" applyAlignment="1">
      <alignment horizontal="center" vertical="center"/>
    </xf>
    <xf numFmtId="0" fontId="6" fillId="2" borderId="36" xfId="6" applyFont="1" applyFill="1" applyBorder="1" applyAlignment="1">
      <alignment horizontal="center" vertical="center"/>
    </xf>
    <xf numFmtId="0" fontId="6" fillId="2" borderId="37" xfId="6" applyFont="1" applyFill="1" applyBorder="1" applyAlignment="1">
      <alignment horizontal="center" vertical="center"/>
    </xf>
    <xf numFmtId="0" fontId="6" fillId="2" borderId="38" xfId="6" applyFont="1" applyFill="1" applyBorder="1" applyAlignment="1">
      <alignment horizontal="center" vertical="center"/>
    </xf>
    <xf numFmtId="0" fontId="6" fillId="2" borderId="39" xfId="6" applyFont="1" applyFill="1" applyBorder="1" applyAlignment="1">
      <alignment horizontal="center" vertical="center"/>
    </xf>
    <xf numFmtId="0" fontId="5" fillId="3" borderId="20" xfId="6" applyFont="1" applyFill="1" applyBorder="1" applyAlignment="1">
      <alignment horizontal="center" vertical="center"/>
    </xf>
    <xf numFmtId="0" fontId="5" fillId="3" borderId="21" xfId="6" applyFont="1" applyFill="1" applyBorder="1" applyAlignment="1">
      <alignment horizontal="center" vertical="center"/>
    </xf>
    <xf numFmtId="0" fontId="5" fillId="3" borderId="22" xfId="6" applyFont="1" applyFill="1" applyBorder="1" applyAlignment="1">
      <alignment horizontal="center" vertical="center"/>
    </xf>
    <xf numFmtId="178" fontId="12" fillId="0" borderId="23" xfId="6" applyNumberFormat="1" applyFont="1" applyBorder="1" applyAlignment="1">
      <alignment horizontal="center" vertical="center"/>
    </xf>
    <xf numFmtId="176" fontId="5" fillId="0" borderId="40" xfId="6" applyNumberFormat="1" applyFont="1" applyBorder="1" applyAlignment="1">
      <alignment horizontal="center" vertical="center"/>
    </xf>
    <xf numFmtId="0" fontId="5" fillId="0" borderId="41" xfId="6" applyFont="1" applyBorder="1" applyAlignment="1">
      <alignment horizontal="center" vertical="center"/>
    </xf>
    <xf numFmtId="0" fontId="5" fillId="0" borderId="42" xfId="6" applyFont="1" applyBorder="1" applyAlignment="1">
      <alignment horizontal="center" vertical="center"/>
    </xf>
    <xf numFmtId="0" fontId="5" fillId="3" borderId="43" xfId="6" applyFont="1" applyFill="1" applyBorder="1" applyAlignment="1">
      <alignment horizontal="center" vertical="center"/>
    </xf>
    <xf numFmtId="0" fontId="5" fillId="3" borderId="44" xfId="6" applyFont="1" applyFill="1" applyBorder="1" applyAlignment="1">
      <alignment horizontal="center" vertical="center"/>
    </xf>
    <xf numFmtId="0" fontId="5" fillId="3" borderId="45" xfId="6" applyFont="1" applyFill="1" applyBorder="1" applyAlignment="1">
      <alignment horizontal="center" vertical="center"/>
    </xf>
    <xf numFmtId="178" fontId="12" fillId="0" borderId="18" xfId="6" applyNumberFormat="1" applyFont="1" applyBorder="1" applyAlignment="1">
      <alignment horizontal="center" vertical="center"/>
    </xf>
    <xf numFmtId="0" fontId="5" fillId="3" borderId="30" xfId="6" applyFont="1" applyFill="1" applyBorder="1" applyAlignment="1">
      <alignment horizontal="center" vertical="center"/>
    </xf>
    <xf numFmtId="0" fontId="5" fillId="3" borderId="31" xfId="6" applyFont="1" applyFill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/>
    </xf>
    <xf numFmtId="178" fontId="12" fillId="0" borderId="46" xfId="6" applyNumberFormat="1" applyFont="1" applyBorder="1" applyAlignment="1">
      <alignment horizontal="center" vertical="center"/>
    </xf>
    <xf numFmtId="176" fontId="5" fillId="0" borderId="27" xfId="6" applyNumberFormat="1" applyFont="1" applyBorder="1" applyAlignment="1">
      <alignment horizontal="center" vertical="center"/>
    </xf>
    <xf numFmtId="0" fontId="5" fillId="0" borderId="28" xfId="6" applyFont="1" applyBorder="1" applyAlignment="1">
      <alignment horizontal="center" vertical="center"/>
    </xf>
    <xf numFmtId="0" fontId="5" fillId="0" borderId="47" xfId="6" applyFont="1" applyBorder="1" applyAlignment="1">
      <alignment horizontal="center" vertical="center"/>
    </xf>
    <xf numFmtId="178" fontId="5" fillId="0" borderId="0" xfId="6" applyNumberFormat="1" applyFont="1" applyAlignment="1">
      <alignment horizontal="center" vertical="center"/>
    </xf>
    <xf numFmtId="176" fontId="5" fillId="0" borderId="0" xfId="6" applyNumberFormat="1" applyFont="1" applyAlignment="1">
      <alignment horizontal="center" vertical="center"/>
    </xf>
    <xf numFmtId="0" fontId="5" fillId="0" borderId="0" xfId="6" applyFont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39" xfId="2" applyFont="1" applyFill="1" applyBorder="1" applyAlignment="1">
      <alignment horizontal="center" vertical="center"/>
    </xf>
    <xf numFmtId="0" fontId="11" fillId="0" borderId="48" xfId="0" applyFont="1" applyBorder="1">
      <alignment vertical="center"/>
    </xf>
    <xf numFmtId="0" fontId="5" fillId="0" borderId="49" xfId="2" applyFont="1" applyBorder="1">
      <alignment vertical="center"/>
    </xf>
    <xf numFmtId="0" fontId="5" fillId="0" borderId="48" xfId="2" applyFont="1" applyBorder="1">
      <alignment vertical="center"/>
    </xf>
    <xf numFmtId="0" fontId="6" fillId="2" borderId="50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178" fontId="5" fillId="0" borderId="26" xfId="2" applyNumberFormat="1" applyFont="1" applyBorder="1" applyAlignment="1">
      <alignment horizontal="center" vertical="center"/>
    </xf>
    <xf numFmtId="178" fontId="5" fillId="0" borderId="27" xfId="2" applyNumberFormat="1" applyFont="1" applyBorder="1" applyAlignment="1">
      <alignment horizontal="center" vertical="center"/>
    </xf>
    <xf numFmtId="178" fontId="11" fillId="0" borderId="27" xfId="2" applyNumberFormat="1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8" xfId="2" applyFont="1" applyBorder="1" applyAlignment="1">
      <alignment horizontal="center" vertical="center"/>
    </xf>
  </cellXfs>
  <cellStyles count="7">
    <cellStyle name="쉼표 [0] 2 3" xfId="5" xr:uid="{4499593F-325D-4E28-A569-FE0F66A15BDC}"/>
    <cellStyle name="표준" xfId="0" builtinId="0"/>
    <cellStyle name="표준 10 2 6" xfId="1" xr:uid="{C0F435A3-0647-4003-8EDE-ECC01F700BF9}"/>
    <cellStyle name="표준 14 2" xfId="3" xr:uid="{CC1A64C1-BA67-4376-A0F0-DBB32DA69E83}"/>
    <cellStyle name="표준 2" xfId="2" xr:uid="{6ED6BDE2-EFFB-456E-AC30-90C7BBBC6135}"/>
    <cellStyle name="표준 3" xfId="4" xr:uid="{912E8DAC-5003-4E6E-9485-873594AB47EA}"/>
    <cellStyle name="표준 7 2" xfId="6" xr:uid="{3DE4A66E-84E1-4186-8CA7-8C850A312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35299</xdr:colOff>
      <xdr:row>45</xdr:row>
      <xdr:rowOff>87968</xdr:rowOff>
    </xdr:from>
    <xdr:to>
      <xdr:col>34</xdr:col>
      <xdr:colOff>148099</xdr:colOff>
      <xdr:row>51</xdr:row>
      <xdr:rowOff>270042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47E3BA-4922-48D5-8A3B-EE7504E8A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724" y="12813368"/>
          <a:ext cx="5904000" cy="189657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56</xdr:row>
      <xdr:rowOff>38100</xdr:rowOff>
    </xdr:from>
    <xdr:to>
      <xdr:col>34</xdr:col>
      <xdr:colOff>150900</xdr:colOff>
      <xdr:row>62</xdr:row>
      <xdr:rowOff>280599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CEBA6-60DA-4F64-B54A-6BC41746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5773400"/>
          <a:ext cx="5904000" cy="1956999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</xdr:colOff>
      <xdr:row>34</xdr:row>
      <xdr:rowOff>38100</xdr:rowOff>
    </xdr:from>
    <xdr:to>
      <xdr:col>34</xdr:col>
      <xdr:colOff>161924</xdr:colOff>
      <xdr:row>40</xdr:row>
      <xdr:rowOff>265304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2D9FD4F-9EC8-4B7C-91C6-3A0E54A1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4" y="9753600"/>
          <a:ext cx="5915025" cy="19417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.%20&#50629;&#47924;\&#51648;&#48152;&#48512;\01.%20&#45796;&#45824;&#54252;&#54637;%20&#51221;&#48708;&#44277;&#49324;%20&#44592;&#48376;%20&#48143;%20&#49892;&#49884;&#49444;&#44228;&#50857;&#50669;\00.%20&#49457;&#44284;&#54408;%20&#51089;&#49457;\&#44228;&#49328;&#49436;\&#52572;&#51333;\5.4.%20&#50896;&#54840;&#54876;&#46041;%20&#48143;%20&#51648;&#51648;&#47141;%20&#44160;&#53664;&#44208;&#44284;_v2.xlsx" TargetMode="External"/><Relationship Id="rId1" Type="http://schemas.openxmlformats.org/officeDocument/2006/relationships/externalLinkPath" Target="file:///D:\2.%20&#50629;&#47924;\&#51648;&#48152;&#48512;\01.%20&#45796;&#45824;&#54252;&#54637;%20&#51221;&#48708;&#44277;&#49324;%20&#44592;&#48376;%20&#48143;%20&#49892;&#49884;&#49444;&#44228;&#50857;&#50669;\00.%20&#49457;&#44284;&#54408;%20&#51089;&#49457;\&#44228;&#49328;&#49436;\&#52572;&#51333;\5.4.%20&#50896;&#54840;&#54876;&#46041;%20&#48143;%20&#51648;&#51648;&#47141;%20&#44160;&#53664;&#44208;&#44284;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50641;&#49472;\&#48317;&#44053;&#44288;-&#48512;&#493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SS_PROJECT\&#44396;&#51312;&#44228;&#49328;&#49436;\&#48513;&#48169;&#54028;&#54840;&#50504;\1.2&#48513;&#48169;&#54028;&#54840;&#50504;(A&#44396;&#44036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5124;\12_&#55121;&#49328;&#46020;&#54637;%20&#44060;&#48156;&#49324;&#50629;%20&#44592;&#48376;%20&#48143;%20&#49892;&#49884;&#49444;&#44228;&#50857;&#50669;_&#9733;&#9733;&#9733;\ahn\&#49340;&#47561;&#44257;\&#44396;&#51312;&#44160;&#53664;\&#48373;&#44277;&#44228;&#49328;(&#52572;&#5133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hwang\hty-net\&#48176;&#54637;&#50724;\600t-&#53356;&#47112;&#51064;\&#44032;&#46020;-&#52384;&#54032;&#49324;&#50857;&#4988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2003_&#51089;&#50629;&#54260;&#45908;\&#45824;&#54252;&#54637;&#49892;&#49884;&#49444;&#44228;\&#45225;&#54408;&#50857;11_12(&#52572;&#51333;)\3.&#44396;&#51312;&#44228;&#49328;&#49436;\04_&#48169;&#54028;&#54840;&#50504;\&#46041;&#48169;&#54028;&#51228;_&#45800;&#47732;&#50504;&#51221;&#44160;&#536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44053;&#44396;&#54637;\&#44396;&#51312;&#44228;&#49328;\&#49464;&#44404;&#48169;&#51648;&#44277;\4.3&#51060;&#46041;&#54620;&#44228;&#49688;&#499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cd1\03.%20&#44396;&#51312;%20&#48143;%20&#49688;&#47532;&#44228;&#49328;&#49436;\05_&#48169;&#54028;&#51228;\5.1&#46041;&#48169;&#54028;&#51228;&#52572;&#5133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0689;\&#44277;&#50976;&#48169;\&#51089;&#50629;\2003_&#51089;&#50629;&#54260;&#45908;\&#45824;&#54252;&#54637;&#49892;&#49884;&#49444;&#44228;\&#45225;&#54408;&#50857;11_12(&#52572;&#51333;)\3.&#44396;&#51312;&#44228;&#49328;&#49436;\04_&#48169;&#54028;&#54840;&#50504;\&#45800;&#47732;&#50504;&#51221;&#44228;&#49328;-&#44592;&#48376;&#54252;&#47719;-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M(복합지반물성)-출력금지"/>
      <sheetName val="가. 설계조건"/>
      <sheetName val="나. 상시"/>
      <sheetName val="다. 지진시"/>
      <sheetName val="5.4.1 가. 1-1단계"/>
      <sheetName val="나. 1-1단계(A-A') 편심"/>
      <sheetName val="1-1단계(A-A') 원호활동"/>
      <sheetName val=" 양육부두(B-B') 편심 "/>
      <sheetName val=" 양육부두(B-B') 원호활동 "/>
      <sheetName val="1-1단계(B-B') 편심"/>
      <sheetName val="1-1단계(B-B') 원호활동"/>
      <sheetName val="양육부두(C-C') 편심"/>
      <sheetName val="1-1단계(C-C') 편심 "/>
      <sheetName val="1-1단계(C-C') 원호활동 "/>
      <sheetName val="5.4.2 가. 1-2단계"/>
      <sheetName val=" 나. 휴식부두A(D-D') 편심 "/>
      <sheetName val=" 휴식부두A(D-D') 원호활동 "/>
      <sheetName val="나. 1-2단계(D-D') 편심"/>
      <sheetName val="1-2단계A(D-D') 원호활동"/>
      <sheetName val="5.4.3 가. 2단계"/>
      <sheetName val="나. 2단계B(E-E') 편심 "/>
      <sheetName val="2단계B(E-E') 원호활동 "/>
      <sheetName val="2단계B(F-F') 편심 "/>
      <sheetName val="2단계B(F-F') 원호활동 "/>
      <sheetName val="2단계B(G-G') 편심 "/>
      <sheetName val="2단계B(G-G') 원호활동 "/>
      <sheetName val="2단계B(H-H') 편심"/>
      <sheetName val="2단계B(H-H') 원호활동"/>
      <sheetName val="5.4.4 가. 가호안"/>
      <sheetName val="가호안(1)(I-I') 원호활동 "/>
      <sheetName val="가호안(2)(J-J') 원호활동"/>
      <sheetName val="5.4.5 가. 기존구조물(a-a') 원호활동"/>
      <sheetName val="기존구조물(b-b') 원호활동"/>
      <sheetName val="남측가호안(I-I') 원호활동"/>
      <sheetName val="북측가호안(J-J') 원호활동"/>
      <sheetName val="안벽1구간_자. 침하량검토-SI"/>
      <sheetName val="안벽2구간_자. 침하량검토-SI (2)"/>
      <sheetName val="안벽3구간_자. 침하량검토-SI (3)"/>
      <sheetName val="남측1구간_자. 침하량검토-SI (4)"/>
      <sheetName val="남측2구간_자. 침하량검토-SI (5)"/>
      <sheetName val="서측호안구간_자. 침하량검토-SI (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15.0"/>
      <sheetName val="이재혁 (2)"/>
      <sheetName val="Sheet14"/>
      <sheetName val="Sheet15"/>
      <sheetName val="Sheet16"/>
      <sheetName val="이재혁 (3)"/>
      <sheetName val="교각1"/>
    </sheetNames>
    <sheetDataSet>
      <sheetData sheetId="0">
        <row r="27">
          <cell r="T27">
            <v>1.5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설계조건"/>
      <sheetName val="1.2.1 마루높이결정"/>
      <sheetName val="1.2.2피복재소요중량산정"/>
      <sheetName val="1.2.3단면안정검토"/>
      <sheetName val="1.2.4침하량"/>
      <sheetName val="사.원호활동검토"/>
    </sheetNames>
    <sheetDataSet>
      <sheetData sheetId="0" refreshError="1"/>
      <sheetData sheetId="1">
        <row r="192">
          <cell r="Q192">
            <v>6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복공계산"/>
      <sheetName val="H-PILE(구)"/>
      <sheetName val="strut(구)"/>
      <sheetName val="띠장(구)"/>
      <sheetName val="단면특성"/>
      <sheetName val="H-PILE"/>
      <sheetName val="WALL"/>
      <sheetName val="wall2"/>
      <sheetName val="strut"/>
      <sheetName val="Sheet pile(A)"/>
      <sheetName val="토류판"/>
      <sheetName val="Raker의 기초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립부(철판)"/>
      <sheetName val="Offshore-1"/>
      <sheetName val="offshore2-1"/>
      <sheetName val="Offshore-3(지반개량시)"/>
      <sheetName val="offshore3(강제치환)"/>
      <sheetName val="offshore4"/>
      <sheetName val="가도(사석)총치환량"/>
    </sheetNames>
    <sheetDataSet>
      <sheetData sheetId="0">
        <row r="70">
          <cell r="E70">
            <v>220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 refreshError="1"/>
      <sheetData sheetId="1" refreshError="1">
        <row r="19">
          <cell r="F19" t="str">
            <v>북방파제</v>
          </cell>
        </row>
        <row r="30">
          <cell r="N30">
            <v>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3.1 마루높이결정"/>
      <sheetName val="4.3.2피복재소요중량산정"/>
      <sheetName val="4.3.3"/>
      <sheetName val="4.3.3 나. 검토조건"/>
      <sheetName val="라.원호활동검토A구간상시"/>
      <sheetName val="원호활동검토A구간지진지"/>
      <sheetName val="4.3.4"/>
      <sheetName val="4.3.4 나. 검토조건"/>
      <sheetName val="라.원호활동검토B구간상시"/>
      <sheetName val="원호활동검토B구간지진시"/>
      <sheetName val="마. 표사 이동한계 수심"/>
      <sheetName val="바. TYPE-E1"/>
      <sheetName val="2) TYPE-E3"/>
      <sheetName val="3) TYPE-E4"/>
      <sheetName val="4) TYPE-E5"/>
      <sheetName val="5) TYPE-E6"/>
      <sheetName val="6) TYPE-E7"/>
      <sheetName val="4.3.5"/>
      <sheetName val="4.3.5 나.검토조건"/>
      <sheetName val="X........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1 마루높이결정"/>
      <sheetName val="3.1.2피복재소요중량산정"/>
      <sheetName val="5.1.3단면안정검토제간부B"/>
      <sheetName val="3.1.3단면안정검토(제간부B고다)"/>
      <sheetName val="1)침하량 (BH-3)"/>
      <sheetName val="2)침하량 (B-2)"/>
      <sheetName val="3)침하량 (BH-2)"/>
      <sheetName val="4)침하량 (B-1)"/>
      <sheetName val="5.1.5단면안정검토제두부"/>
      <sheetName val="3.1.4단면안정검토(제두부)"/>
      <sheetName val="다.침하량 (BH-1)"/>
      <sheetName val="1.1.1 TYPE-A"/>
      <sheetName val="1.1.1 TYPE-A1"/>
      <sheetName val="1.1.1 TYPE-A2"/>
      <sheetName val="1.1.1 TYPE-A3"/>
      <sheetName val="1.1.1 TYPE-B"/>
      <sheetName val="1.1.1 TYPE-B1"/>
      <sheetName val="1.1.1 TYPE-B2"/>
      <sheetName val="1.1.1 TRIPOD"/>
      <sheetName val="5.1.6사석경사제-B"/>
      <sheetName val="5.1.6 사석경사제-B(대안_1)X"/>
      <sheetName val="5.1.6블록혼성제-A"/>
      <sheetName val="5.1.6블록혼성제-A(대안_3)"/>
      <sheetName val="5.1.7블록혼성제-B"/>
      <sheetName val="5.1.7블록혼성제-B(대안_4)"/>
      <sheetName val="5.1.8케이슨식"/>
      <sheetName val="5.1.8케이슨식(대안_5)"/>
      <sheetName val="X3.1.3단면안정검토(제간부) (히로이)X"/>
      <sheetName val="1.1.1 취수박스"/>
      <sheetName val="1.1.1 집수박스"/>
      <sheetName val="1.1.1 저수박스"/>
    </sheetNames>
    <sheetDataSet>
      <sheetData sheetId="0">
        <row r="19">
          <cell r="S19">
            <v>263.64</v>
          </cell>
        </row>
        <row r="26">
          <cell r="S26">
            <v>9.49</v>
          </cell>
        </row>
        <row r="71">
          <cell r="R71">
            <v>5.71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 설계조건"/>
      <sheetName val="4.2.1 마루높이 검토"/>
      <sheetName val="4.2.2 피복재 소요중량 산정"/>
      <sheetName val="4.2.3 단면안정 검토"/>
      <sheetName val="4.2.4 표준단면도"/>
      <sheetName val="4.2.4 표사 이동한계 수심"/>
      <sheetName val="4.2.5 MOUND 피복재 소요중량 산정"/>
      <sheetName val="4.2.6 단면안정 검토"/>
      <sheetName val="4.2.7 단면안정 검토"/>
      <sheetName val="4.2.8 단면안정 검토"/>
    </sheetNames>
    <sheetDataSet>
      <sheetData sheetId="0"/>
      <sheetData sheetId="1">
        <row r="23">
          <cell r="S23" t="str">
            <v>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504B-A109-457A-A198-4F46EDF13BD5}">
  <sheetPr>
    <tabColor theme="3" tint="0.59999389629810485"/>
  </sheetPr>
  <dimension ref="B1:AI65"/>
  <sheetViews>
    <sheetView showGridLines="0" tabSelected="1" view="pageBreakPreview" topLeftCell="A55" zoomScaleNormal="100" zoomScaleSheetLayoutView="100" workbookViewId="0">
      <selection activeCell="AR60" sqref="AR60"/>
    </sheetView>
  </sheetViews>
  <sheetFormatPr defaultColWidth="2.375" defaultRowHeight="22.5" customHeight="1"/>
  <cols>
    <col min="1" max="1" width="1.625" style="2" customWidth="1"/>
    <col min="2" max="2" width="3" style="2" customWidth="1"/>
    <col min="3" max="35" width="2.375" style="2" customWidth="1"/>
    <col min="36" max="36" width="3.125" style="2" customWidth="1"/>
    <col min="37" max="255" width="2.375" style="2"/>
    <col min="256" max="266" width="2.375" style="2" customWidth="1"/>
    <col min="267" max="267" width="2.75" style="2" customWidth="1"/>
    <col min="268" max="291" width="2.375" style="2" customWidth="1"/>
    <col min="292" max="292" width="3.125" style="2" customWidth="1"/>
    <col min="293" max="511" width="2.375" style="2"/>
    <col min="512" max="522" width="2.375" style="2" customWidth="1"/>
    <col min="523" max="523" width="2.75" style="2" customWidth="1"/>
    <col min="524" max="547" width="2.375" style="2" customWidth="1"/>
    <col min="548" max="548" width="3.125" style="2" customWidth="1"/>
    <col min="549" max="767" width="2.375" style="2"/>
    <col min="768" max="778" width="2.375" style="2" customWidth="1"/>
    <col min="779" max="779" width="2.75" style="2" customWidth="1"/>
    <col min="780" max="803" width="2.375" style="2" customWidth="1"/>
    <col min="804" max="804" width="3.125" style="2" customWidth="1"/>
    <col min="805" max="1023" width="2.375" style="2"/>
    <col min="1024" max="1034" width="2.375" style="2" customWidth="1"/>
    <col min="1035" max="1035" width="2.75" style="2" customWidth="1"/>
    <col min="1036" max="1059" width="2.375" style="2" customWidth="1"/>
    <col min="1060" max="1060" width="3.125" style="2" customWidth="1"/>
    <col min="1061" max="1279" width="2.375" style="2"/>
    <col min="1280" max="1290" width="2.375" style="2" customWidth="1"/>
    <col min="1291" max="1291" width="2.75" style="2" customWidth="1"/>
    <col min="1292" max="1315" width="2.375" style="2" customWidth="1"/>
    <col min="1316" max="1316" width="3.125" style="2" customWidth="1"/>
    <col min="1317" max="1535" width="2.375" style="2"/>
    <col min="1536" max="1546" width="2.375" style="2" customWidth="1"/>
    <col min="1547" max="1547" width="2.75" style="2" customWidth="1"/>
    <col min="1548" max="1571" width="2.375" style="2" customWidth="1"/>
    <col min="1572" max="1572" width="3.125" style="2" customWidth="1"/>
    <col min="1573" max="1791" width="2.375" style="2"/>
    <col min="1792" max="1802" width="2.375" style="2" customWidth="1"/>
    <col min="1803" max="1803" width="2.75" style="2" customWidth="1"/>
    <col min="1804" max="1827" width="2.375" style="2" customWidth="1"/>
    <col min="1828" max="1828" width="3.125" style="2" customWidth="1"/>
    <col min="1829" max="2047" width="2.375" style="2"/>
    <col min="2048" max="2058" width="2.375" style="2" customWidth="1"/>
    <col min="2059" max="2059" width="2.75" style="2" customWidth="1"/>
    <col min="2060" max="2083" width="2.375" style="2" customWidth="1"/>
    <col min="2084" max="2084" width="3.125" style="2" customWidth="1"/>
    <col min="2085" max="2303" width="2.375" style="2"/>
    <col min="2304" max="2314" width="2.375" style="2" customWidth="1"/>
    <col min="2315" max="2315" width="2.75" style="2" customWidth="1"/>
    <col min="2316" max="2339" width="2.375" style="2" customWidth="1"/>
    <col min="2340" max="2340" width="3.125" style="2" customWidth="1"/>
    <col min="2341" max="2559" width="2.375" style="2"/>
    <col min="2560" max="2570" width="2.375" style="2" customWidth="1"/>
    <col min="2571" max="2571" width="2.75" style="2" customWidth="1"/>
    <col min="2572" max="2595" width="2.375" style="2" customWidth="1"/>
    <col min="2596" max="2596" width="3.125" style="2" customWidth="1"/>
    <col min="2597" max="2815" width="2.375" style="2"/>
    <col min="2816" max="2826" width="2.375" style="2" customWidth="1"/>
    <col min="2827" max="2827" width="2.75" style="2" customWidth="1"/>
    <col min="2828" max="2851" width="2.375" style="2" customWidth="1"/>
    <col min="2852" max="2852" width="3.125" style="2" customWidth="1"/>
    <col min="2853" max="3071" width="2.375" style="2"/>
    <col min="3072" max="3082" width="2.375" style="2" customWidth="1"/>
    <col min="3083" max="3083" width="2.75" style="2" customWidth="1"/>
    <col min="3084" max="3107" width="2.375" style="2" customWidth="1"/>
    <col min="3108" max="3108" width="3.125" style="2" customWidth="1"/>
    <col min="3109" max="3327" width="2.375" style="2"/>
    <col min="3328" max="3338" width="2.375" style="2" customWidth="1"/>
    <col min="3339" max="3339" width="2.75" style="2" customWidth="1"/>
    <col min="3340" max="3363" width="2.375" style="2" customWidth="1"/>
    <col min="3364" max="3364" width="3.125" style="2" customWidth="1"/>
    <col min="3365" max="3583" width="2.375" style="2"/>
    <col min="3584" max="3594" width="2.375" style="2" customWidth="1"/>
    <col min="3595" max="3595" width="2.75" style="2" customWidth="1"/>
    <col min="3596" max="3619" width="2.375" style="2" customWidth="1"/>
    <col min="3620" max="3620" width="3.125" style="2" customWidth="1"/>
    <col min="3621" max="3839" width="2.375" style="2"/>
    <col min="3840" max="3850" width="2.375" style="2" customWidth="1"/>
    <col min="3851" max="3851" width="2.75" style="2" customWidth="1"/>
    <col min="3852" max="3875" width="2.375" style="2" customWidth="1"/>
    <col min="3876" max="3876" width="3.125" style="2" customWidth="1"/>
    <col min="3877" max="4095" width="2.375" style="2"/>
    <col min="4096" max="4106" width="2.375" style="2" customWidth="1"/>
    <col min="4107" max="4107" width="2.75" style="2" customWidth="1"/>
    <col min="4108" max="4131" width="2.375" style="2" customWidth="1"/>
    <col min="4132" max="4132" width="3.125" style="2" customWidth="1"/>
    <col min="4133" max="4351" width="2.375" style="2"/>
    <col min="4352" max="4362" width="2.375" style="2" customWidth="1"/>
    <col min="4363" max="4363" width="2.75" style="2" customWidth="1"/>
    <col min="4364" max="4387" width="2.375" style="2" customWidth="1"/>
    <col min="4388" max="4388" width="3.125" style="2" customWidth="1"/>
    <col min="4389" max="4607" width="2.375" style="2"/>
    <col min="4608" max="4618" width="2.375" style="2" customWidth="1"/>
    <col min="4619" max="4619" width="2.75" style="2" customWidth="1"/>
    <col min="4620" max="4643" width="2.375" style="2" customWidth="1"/>
    <col min="4644" max="4644" width="3.125" style="2" customWidth="1"/>
    <col min="4645" max="4863" width="2.375" style="2"/>
    <col min="4864" max="4874" width="2.375" style="2" customWidth="1"/>
    <col min="4875" max="4875" width="2.75" style="2" customWidth="1"/>
    <col min="4876" max="4899" width="2.375" style="2" customWidth="1"/>
    <col min="4900" max="4900" width="3.125" style="2" customWidth="1"/>
    <col min="4901" max="5119" width="2.375" style="2"/>
    <col min="5120" max="5130" width="2.375" style="2" customWidth="1"/>
    <col min="5131" max="5131" width="2.75" style="2" customWidth="1"/>
    <col min="5132" max="5155" width="2.375" style="2" customWidth="1"/>
    <col min="5156" max="5156" width="3.125" style="2" customWidth="1"/>
    <col min="5157" max="5375" width="2.375" style="2"/>
    <col min="5376" max="5386" width="2.375" style="2" customWidth="1"/>
    <col min="5387" max="5387" width="2.75" style="2" customWidth="1"/>
    <col min="5388" max="5411" width="2.375" style="2" customWidth="1"/>
    <col min="5412" max="5412" width="3.125" style="2" customWidth="1"/>
    <col min="5413" max="5631" width="2.375" style="2"/>
    <col min="5632" max="5642" width="2.375" style="2" customWidth="1"/>
    <col min="5643" max="5643" width="2.75" style="2" customWidth="1"/>
    <col min="5644" max="5667" width="2.375" style="2" customWidth="1"/>
    <col min="5668" max="5668" width="3.125" style="2" customWidth="1"/>
    <col min="5669" max="5887" width="2.375" style="2"/>
    <col min="5888" max="5898" width="2.375" style="2" customWidth="1"/>
    <col min="5899" max="5899" width="2.75" style="2" customWidth="1"/>
    <col min="5900" max="5923" width="2.375" style="2" customWidth="1"/>
    <col min="5924" max="5924" width="3.125" style="2" customWidth="1"/>
    <col min="5925" max="6143" width="2.375" style="2"/>
    <col min="6144" max="6154" width="2.375" style="2" customWidth="1"/>
    <col min="6155" max="6155" width="2.75" style="2" customWidth="1"/>
    <col min="6156" max="6179" width="2.375" style="2" customWidth="1"/>
    <col min="6180" max="6180" width="3.125" style="2" customWidth="1"/>
    <col min="6181" max="6399" width="2.375" style="2"/>
    <col min="6400" max="6410" width="2.375" style="2" customWidth="1"/>
    <col min="6411" max="6411" width="2.75" style="2" customWidth="1"/>
    <col min="6412" max="6435" width="2.375" style="2" customWidth="1"/>
    <col min="6436" max="6436" width="3.125" style="2" customWidth="1"/>
    <col min="6437" max="6655" width="2.375" style="2"/>
    <col min="6656" max="6666" width="2.375" style="2" customWidth="1"/>
    <col min="6667" max="6667" width="2.75" style="2" customWidth="1"/>
    <col min="6668" max="6691" width="2.375" style="2" customWidth="1"/>
    <col min="6692" max="6692" width="3.125" style="2" customWidth="1"/>
    <col min="6693" max="6911" width="2.375" style="2"/>
    <col min="6912" max="6922" width="2.375" style="2" customWidth="1"/>
    <col min="6923" max="6923" width="2.75" style="2" customWidth="1"/>
    <col min="6924" max="6947" width="2.375" style="2" customWidth="1"/>
    <col min="6948" max="6948" width="3.125" style="2" customWidth="1"/>
    <col min="6949" max="7167" width="2.375" style="2"/>
    <col min="7168" max="7178" width="2.375" style="2" customWidth="1"/>
    <col min="7179" max="7179" width="2.75" style="2" customWidth="1"/>
    <col min="7180" max="7203" width="2.375" style="2" customWidth="1"/>
    <col min="7204" max="7204" width="3.125" style="2" customWidth="1"/>
    <col min="7205" max="7423" width="2.375" style="2"/>
    <col min="7424" max="7434" width="2.375" style="2" customWidth="1"/>
    <col min="7435" max="7435" width="2.75" style="2" customWidth="1"/>
    <col min="7436" max="7459" width="2.375" style="2" customWidth="1"/>
    <col min="7460" max="7460" width="3.125" style="2" customWidth="1"/>
    <col min="7461" max="7679" width="2.375" style="2"/>
    <col min="7680" max="7690" width="2.375" style="2" customWidth="1"/>
    <col min="7691" max="7691" width="2.75" style="2" customWidth="1"/>
    <col min="7692" max="7715" width="2.375" style="2" customWidth="1"/>
    <col min="7716" max="7716" width="3.125" style="2" customWidth="1"/>
    <col min="7717" max="7935" width="2.375" style="2"/>
    <col min="7936" max="7946" width="2.375" style="2" customWidth="1"/>
    <col min="7947" max="7947" width="2.75" style="2" customWidth="1"/>
    <col min="7948" max="7971" width="2.375" style="2" customWidth="1"/>
    <col min="7972" max="7972" width="3.125" style="2" customWidth="1"/>
    <col min="7973" max="8191" width="2.375" style="2"/>
    <col min="8192" max="8202" width="2.375" style="2" customWidth="1"/>
    <col min="8203" max="8203" width="2.75" style="2" customWidth="1"/>
    <col min="8204" max="8227" width="2.375" style="2" customWidth="1"/>
    <col min="8228" max="8228" width="3.125" style="2" customWidth="1"/>
    <col min="8229" max="8447" width="2.375" style="2"/>
    <col min="8448" max="8458" width="2.375" style="2" customWidth="1"/>
    <col min="8459" max="8459" width="2.75" style="2" customWidth="1"/>
    <col min="8460" max="8483" width="2.375" style="2" customWidth="1"/>
    <col min="8484" max="8484" width="3.125" style="2" customWidth="1"/>
    <col min="8485" max="8703" width="2.375" style="2"/>
    <col min="8704" max="8714" width="2.375" style="2" customWidth="1"/>
    <col min="8715" max="8715" width="2.75" style="2" customWidth="1"/>
    <col min="8716" max="8739" width="2.375" style="2" customWidth="1"/>
    <col min="8740" max="8740" width="3.125" style="2" customWidth="1"/>
    <col min="8741" max="8959" width="2.375" style="2"/>
    <col min="8960" max="8970" width="2.375" style="2" customWidth="1"/>
    <col min="8971" max="8971" width="2.75" style="2" customWidth="1"/>
    <col min="8972" max="8995" width="2.375" style="2" customWidth="1"/>
    <col min="8996" max="8996" width="3.125" style="2" customWidth="1"/>
    <col min="8997" max="9215" width="2.375" style="2"/>
    <col min="9216" max="9226" width="2.375" style="2" customWidth="1"/>
    <col min="9227" max="9227" width="2.75" style="2" customWidth="1"/>
    <col min="9228" max="9251" width="2.375" style="2" customWidth="1"/>
    <col min="9252" max="9252" width="3.125" style="2" customWidth="1"/>
    <col min="9253" max="9471" width="2.375" style="2"/>
    <col min="9472" max="9482" width="2.375" style="2" customWidth="1"/>
    <col min="9483" max="9483" width="2.75" style="2" customWidth="1"/>
    <col min="9484" max="9507" width="2.375" style="2" customWidth="1"/>
    <col min="9508" max="9508" width="3.125" style="2" customWidth="1"/>
    <col min="9509" max="9727" width="2.375" style="2"/>
    <col min="9728" max="9738" width="2.375" style="2" customWidth="1"/>
    <col min="9739" max="9739" width="2.75" style="2" customWidth="1"/>
    <col min="9740" max="9763" width="2.375" style="2" customWidth="1"/>
    <col min="9764" max="9764" width="3.125" style="2" customWidth="1"/>
    <col min="9765" max="9983" width="2.375" style="2"/>
    <col min="9984" max="9994" width="2.375" style="2" customWidth="1"/>
    <col min="9995" max="9995" width="2.75" style="2" customWidth="1"/>
    <col min="9996" max="10019" width="2.375" style="2" customWidth="1"/>
    <col min="10020" max="10020" width="3.125" style="2" customWidth="1"/>
    <col min="10021" max="10239" width="2.375" style="2"/>
    <col min="10240" max="10250" width="2.375" style="2" customWidth="1"/>
    <col min="10251" max="10251" width="2.75" style="2" customWidth="1"/>
    <col min="10252" max="10275" width="2.375" style="2" customWidth="1"/>
    <col min="10276" max="10276" width="3.125" style="2" customWidth="1"/>
    <col min="10277" max="10495" width="2.375" style="2"/>
    <col min="10496" max="10506" width="2.375" style="2" customWidth="1"/>
    <col min="10507" max="10507" width="2.75" style="2" customWidth="1"/>
    <col min="10508" max="10531" width="2.375" style="2" customWidth="1"/>
    <col min="10532" max="10532" width="3.125" style="2" customWidth="1"/>
    <col min="10533" max="10751" width="2.375" style="2"/>
    <col min="10752" max="10762" width="2.375" style="2" customWidth="1"/>
    <col min="10763" max="10763" width="2.75" style="2" customWidth="1"/>
    <col min="10764" max="10787" width="2.375" style="2" customWidth="1"/>
    <col min="10788" max="10788" width="3.125" style="2" customWidth="1"/>
    <col min="10789" max="11007" width="2.375" style="2"/>
    <col min="11008" max="11018" width="2.375" style="2" customWidth="1"/>
    <col min="11019" max="11019" width="2.75" style="2" customWidth="1"/>
    <col min="11020" max="11043" width="2.375" style="2" customWidth="1"/>
    <col min="11044" max="11044" width="3.125" style="2" customWidth="1"/>
    <col min="11045" max="11263" width="2.375" style="2"/>
    <col min="11264" max="11274" width="2.375" style="2" customWidth="1"/>
    <col min="11275" max="11275" width="2.75" style="2" customWidth="1"/>
    <col min="11276" max="11299" width="2.375" style="2" customWidth="1"/>
    <col min="11300" max="11300" width="3.125" style="2" customWidth="1"/>
    <col min="11301" max="11519" width="2.375" style="2"/>
    <col min="11520" max="11530" width="2.375" style="2" customWidth="1"/>
    <col min="11531" max="11531" width="2.75" style="2" customWidth="1"/>
    <col min="11532" max="11555" width="2.375" style="2" customWidth="1"/>
    <col min="11556" max="11556" width="3.125" style="2" customWidth="1"/>
    <col min="11557" max="11775" width="2.375" style="2"/>
    <col min="11776" max="11786" width="2.375" style="2" customWidth="1"/>
    <col min="11787" max="11787" width="2.75" style="2" customWidth="1"/>
    <col min="11788" max="11811" width="2.375" style="2" customWidth="1"/>
    <col min="11812" max="11812" width="3.125" style="2" customWidth="1"/>
    <col min="11813" max="12031" width="2.375" style="2"/>
    <col min="12032" max="12042" width="2.375" style="2" customWidth="1"/>
    <col min="12043" max="12043" width="2.75" style="2" customWidth="1"/>
    <col min="12044" max="12067" width="2.375" style="2" customWidth="1"/>
    <col min="12068" max="12068" width="3.125" style="2" customWidth="1"/>
    <col min="12069" max="12287" width="2.375" style="2"/>
    <col min="12288" max="12298" width="2.375" style="2" customWidth="1"/>
    <col min="12299" max="12299" width="2.75" style="2" customWidth="1"/>
    <col min="12300" max="12323" width="2.375" style="2" customWidth="1"/>
    <col min="12324" max="12324" width="3.125" style="2" customWidth="1"/>
    <col min="12325" max="12543" width="2.375" style="2"/>
    <col min="12544" max="12554" width="2.375" style="2" customWidth="1"/>
    <col min="12555" max="12555" width="2.75" style="2" customWidth="1"/>
    <col min="12556" max="12579" width="2.375" style="2" customWidth="1"/>
    <col min="12580" max="12580" width="3.125" style="2" customWidth="1"/>
    <col min="12581" max="12799" width="2.375" style="2"/>
    <col min="12800" max="12810" width="2.375" style="2" customWidth="1"/>
    <col min="12811" max="12811" width="2.75" style="2" customWidth="1"/>
    <col min="12812" max="12835" width="2.375" style="2" customWidth="1"/>
    <col min="12836" max="12836" width="3.125" style="2" customWidth="1"/>
    <col min="12837" max="13055" width="2.375" style="2"/>
    <col min="13056" max="13066" width="2.375" style="2" customWidth="1"/>
    <col min="13067" max="13067" width="2.75" style="2" customWidth="1"/>
    <col min="13068" max="13091" width="2.375" style="2" customWidth="1"/>
    <col min="13092" max="13092" width="3.125" style="2" customWidth="1"/>
    <col min="13093" max="13311" width="2.375" style="2"/>
    <col min="13312" max="13322" width="2.375" style="2" customWidth="1"/>
    <col min="13323" max="13323" width="2.75" style="2" customWidth="1"/>
    <col min="13324" max="13347" width="2.375" style="2" customWidth="1"/>
    <col min="13348" max="13348" width="3.125" style="2" customWidth="1"/>
    <col min="13349" max="13567" width="2.375" style="2"/>
    <col min="13568" max="13578" width="2.375" style="2" customWidth="1"/>
    <col min="13579" max="13579" width="2.75" style="2" customWidth="1"/>
    <col min="13580" max="13603" width="2.375" style="2" customWidth="1"/>
    <col min="13604" max="13604" width="3.125" style="2" customWidth="1"/>
    <col min="13605" max="13823" width="2.375" style="2"/>
    <col min="13824" max="13834" width="2.375" style="2" customWidth="1"/>
    <col min="13835" max="13835" width="2.75" style="2" customWidth="1"/>
    <col min="13836" max="13859" width="2.375" style="2" customWidth="1"/>
    <col min="13860" max="13860" width="3.125" style="2" customWidth="1"/>
    <col min="13861" max="14079" width="2.375" style="2"/>
    <col min="14080" max="14090" width="2.375" style="2" customWidth="1"/>
    <col min="14091" max="14091" width="2.75" style="2" customWidth="1"/>
    <col min="14092" max="14115" width="2.375" style="2" customWidth="1"/>
    <col min="14116" max="14116" width="3.125" style="2" customWidth="1"/>
    <col min="14117" max="14335" width="2.375" style="2"/>
    <col min="14336" max="14346" width="2.375" style="2" customWidth="1"/>
    <col min="14347" max="14347" width="2.75" style="2" customWidth="1"/>
    <col min="14348" max="14371" width="2.375" style="2" customWidth="1"/>
    <col min="14372" max="14372" width="3.125" style="2" customWidth="1"/>
    <col min="14373" max="14591" width="2.375" style="2"/>
    <col min="14592" max="14602" width="2.375" style="2" customWidth="1"/>
    <col min="14603" max="14603" width="2.75" style="2" customWidth="1"/>
    <col min="14604" max="14627" width="2.375" style="2" customWidth="1"/>
    <col min="14628" max="14628" width="3.125" style="2" customWidth="1"/>
    <col min="14629" max="14847" width="2.375" style="2"/>
    <col min="14848" max="14858" width="2.375" style="2" customWidth="1"/>
    <col min="14859" max="14859" width="2.75" style="2" customWidth="1"/>
    <col min="14860" max="14883" width="2.375" style="2" customWidth="1"/>
    <col min="14884" max="14884" width="3.125" style="2" customWidth="1"/>
    <col min="14885" max="15103" width="2.375" style="2"/>
    <col min="15104" max="15114" width="2.375" style="2" customWidth="1"/>
    <col min="15115" max="15115" width="2.75" style="2" customWidth="1"/>
    <col min="15116" max="15139" width="2.375" style="2" customWidth="1"/>
    <col min="15140" max="15140" width="3.125" style="2" customWidth="1"/>
    <col min="15141" max="15359" width="2.375" style="2"/>
    <col min="15360" max="15370" width="2.375" style="2" customWidth="1"/>
    <col min="15371" max="15371" width="2.75" style="2" customWidth="1"/>
    <col min="15372" max="15395" width="2.375" style="2" customWidth="1"/>
    <col min="15396" max="15396" width="3.125" style="2" customWidth="1"/>
    <col min="15397" max="15615" width="2.375" style="2"/>
    <col min="15616" max="15626" width="2.375" style="2" customWidth="1"/>
    <col min="15627" max="15627" width="2.75" style="2" customWidth="1"/>
    <col min="15628" max="15651" width="2.375" style="2" customWidth="1"/>
    <col min="15652" max="15652" width="3.125" style="2" customWidth="1"/>
    <col min="15653" max="15871" width="2.375" style="2"/>
    <col min="15872" max="15882" width="2.375" style="2" customWidth="1"/>
    <col min="15883" max="15883" width="2.75" style="2" customWidth="1"/>
    <col min="15884" max="15907" width="2.375" style="2" customWidth="1"/>
    <col min="15908" max="15908" width="3.125" style="2" customWidth="1"/>
    <col min="15909" max="16127" width="2.375" style="2"/>
    <col min="16128" max="16138" width="2.375" style="2" customWidth="1"/>
    <col min="16139" max="16139" width="2.75" style="2" customWidth="1"/>
    <col min="16140" max="16163" width="2.375" style="2" customWidth="1"/>
    <col min="16164" max="16164" width="3.125" style="2" customWidth="1"/>
    <col min="16165" max="16384" width="2.375" style="2"/>
  </cols>
  <sheetData>
    <row r="1" spans="2:35" ht="22.5" customHeight="1">
      <c r="B1" s="1" t="s">
        <v>0</v>
      </c>
    </row>
    <row r="2" spans="2:35" ht="22.5" customHeight="1">
      <c r="B2" s="3" t="s">
        <v>1</v>
      </c>
    </row>
    <row r="3" spans="2:35" ht="22.5" customHeight="1">
      <c r="B3" s="4" t="s">
        <v>2</v>
      </c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2:35" ht="22.5" customHeight="1">
      <c r="B4" s="7"/>
      <c r="C4" s="8" t="s">
        <v>3</v>
      </c>
      <c r="D4" s="9"/>
      <c r="E4" s="9"/>
      <c r="F4" s="10"/>
      <c r="G4" s="10"/>
      <c r="H4" s="11"/>
      <c r="I4" s="11"/>
      <c r="J4" s="11"/>
      <c r="K4" s="12"/>
      <c r="L4" s="12"/>
      <c r="M4" s="10"/>
      <c r="N4" s="13"/>
      <c r="O4" s="10"/>
      <c r="P4" s="10"/>
      <c r="Q4" s="10"/>
      <c r="R4" s="10"/>
      <c r="S4" s="10"/>
      <c r="T4" s="10"/>
      <c r="U4" s="14"/>
      <c r="V4" s="14"/>
      <c r="W4" s="14"/>
      <c r="X4" s="12"/>
      <c r="Y4" s="12"/>
      <c r="Z4" s="14"/>
      <c r="AA4" s="14"/>
      <c r="AB4" s="14"/>
      <c r="AC4" s="14"/>
      <c r="AD4" s="14"/>
      <c r="AE4" s="14"/>
      <c r="AF4" s="14"/>
      <c r="AG4" s="14"/>
      <c r="AH4" s="14"/>
    </row>
    <row r="5" spans="2:35" ht="22.5" customHeight="1">
      <c r="C5" s="8" t="s">
        <v>4</v>
      </c>
    </row>
    <row r="6" spans="2:35" ht="22.5" customHeight="1">
      <c r="C6" s="15" t="s">
        <v>5</v>
      </c>
      <c r="D6" s="16"/>
      <c r="E6" s="16"/>
      <c r="F6" s="16"/>
      <c r="G6" s="16"/>
      <c r="H6" s="17"/>
      <c r="I6" s="18" t="s">
        <v>6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20"/>
      <c r="U6" s="21" t="s">
        <v>7</v>
      </c>
      <c r="V6" s="21"/>
      <c r="W6" s="21"/>
      <c r="X6" s="21"/>
      <c r="Y6" s="21"/>
      <c r="Z6" s="21"/>
      <c r="AA6" s="21"/>
      <c r="AB6" s="21"/>
      <c r="AC6" s="21"/>
      <c r="AD6" s="21"/>
      <c r="AE6" s="21" t="s">
        <v>8</v>
      </c>
      <c r="AF6" s="21"/>
      <c r="AG6" s="21"/>
      <c r="AH6" s="21"/>
      <c r="AI6" s="22"/>
    </row>
    <row r="7" spans="2:35" ht="22.5" customHeight="1" thickBot="1">
      <c r="C7" s="23"/>
      <c r="D7" s="24"/>
      <c r="E7" s="24"/>
      <c r="F7" s="24"/>
      <c r="G7" s="24"/>
      <c r="H7" s="25"/>
      <c r="I7" s="26" t="s">
        <v>9</v>
      </c>
      <c r="J7" s="26"/>
      <c r="K7" s="26"/>
      <c r="L7" s="26"/>
      <c r="M7" s="26"/>
      <c r="N7" s="26"/>
      <c r="O7" s="26" t="s">
        <v>10</v>
      </c>
      <c r="P7" s="26"/>
      <c r="Q7" s="26"/>
      <c r="R7" s="26"/>
      <c r="S7" s="26"/>
      <c r="T7" s="26"/>
      <c r="U7" s="26" t="s">
        <v>11</v>
      </c>
      <c r="V7" s="26"/>
      <c r="W7" s="26"/>
      <c r="X7" s="26"/>
      <c r="Y7" s="26"/>
      <c r="Z7" s="26" t="s">
        <v>12</v>
      </c>
      <c r="AA7" s="26"/>
      <c r="AB7" s="26"/>
      <c r="AC7" s="26"/>
      <c r="AD7" s="26"/>
      <c r="AE7" s="26"/>
      <c r="AF7" s="26"/>
      <c r="AG7" s="26"/>
      <c r="AH7" s="26"/>
      <c r="AI7" s="27"/>
    </row>
    <row r="8" spans="2:35" ht="22.5" customHeight="1" thickTop="1">
      <c r="C8" s="28" t="s">
        <v>13</v>
      </c>
      <c r="D8" s="29"/>
      <c r="E8" s="29"/>
      <c r="F8" s="29"/>
      <c r="G8" s="29"/>
      <c r="H8" s="30"/>
      <c r="I8" s="31">
        <v>22.6</v>
      </c>
      <c r="J8" s="31"/>
      <c r="K8" s="31"/>
      <c r="L8" s="31"/>
      <c r="M8" s="31"/>
      <c r="N8" s="31"/>
      <c r="O8" s="31">
        <v>22.6</v>
      </c>
      <c r="P8" s="31"/>
      <c r="Q8" s="31"/>
      <c r="R8" s="31"/>
      <c r="S8" s="31"/>
      <c r="T8" s="31"/>
      <c r="U8" s="31">
        <v>45</v>
      </c>
      <c r="V8" s="31"/>
      <c r="W8" s="31"/>
      <c r="X8" s="31"/>
      <c r="Y8" s="31"/>
      <c r="Z8" s="31">
        <v>1000</v>
      </c>
      <c r="AA8" s="31"/>
      <c r="AB8" s="31"/>
      <c r="AC8" s="31"/>
      <c r="AD8" s="31"/>
      <c r="AE8" s="32" t="s">
        <v>14</v>
      </c>
      <c r="AF8" s="33"/>
      <c r="AG8" s="33"/>
      <c r="AH8" s="33"/>
      <c r="AI8" s="34"/>
    </row>
    <row r="9" spans="2:35" ht="22.5" customHeight="1">
      <c r="C9" s="35" t="s">
        <v>15</v>
      </c>
      <c r="D9" s="36"/>
      <c r="E9" s="36"/>
      <c r="F9" s="36"/>
      <c r="G9" s="36"/>
      <c r="H9" s="37"/>
      <c r="I9" s="38">
        <v>13.22</v>
      </c>
      <c r="J9" s="38"/>
      <c r="K9" s="38"/>
      <c r="L9" s="38"/>
      <c r="M9" s="38"/>
      <c r="N9" s="38"/>
      <c r="O9" s="38">
        <v>13.22</v>
      </c>
      <c r="P9" s="38"/>
      <c r="Q9" s="38"/>
      <c r="R9" s="38"/>
      <c r="S9" s="38"/>
      <c r="T9" s="38"/>
      <c r="U9" s="38">
        <v>40</v>
      </c>
      <c r="V9" s="38"/>
      <c r="W9" s="38"/>
      <c r="X9" s="38"/>
      <c r="Y9" s="38"/>
      <c r="Z9" s="38">
        <v>100</v>
      </c>
      <c r="AA9" s="38"/>
      <c r="AB9" s="38"/>
      <c r="AC9" s="38"/>
      <c r="AD9" s="38"/>
      <c r="AE9" s="39" t="s">
        <v>14</v>
      </c>
      <c r="AF9" s="40"/>
      <c r="AG9" s="40"/>
      <c r="AH9" s="40"/>
      <c r="AI9" s="41"/>
    </row>
    <row r="10" spans="2:35" ht="22.5" customHeight="1">
      <c r="C10" s="35" t="s">
        <v>16</v>
      </c>
      <c r="D10" s="36"/>
      <c r="E10" s="36"/>
      <c r="F10" s="36"/>
      <c r="G10" s="36"/>
      <c r="H10" s="37"/>
      <c r="I10" s="38">
        <v>18</v>
      </c>
      <c r="J10" s="38"/>
      <c r="K10" s="38"/>
      <c r="L10" s="38"/>
      <c r="M10" s="38"/>
      <c r="N10" s="38"/>
      <c r="O10" s="38">
        <v>19</v>
      </c>
      <c r="P10" s="38"/>
      <c r="Q10" s="38"/>
      <c r="R10" s="38"/>
      <c r="S10" s="38"/>
      <c r="T10" s="38"/>
      <c r="U10" s="38">
        <v>27</v>
      </c>
      <c r="V10" s="38"/>
      <c r="W10" s="38"/>
      <c r="X10" s="38"/>
      <c r="Y10" s="38"/>
      <c r="Z10" s="38" t="s">
        <v>17</v>
      </c>
      <c r="AA10" s="38"/>
      <c r="AB10" s="38"/>
      <c r="AC10" s="38"/>
      <c r="AD10" s="38"/>
      <c r="AE10" s="39" t="s">
        <v>14</v>
      </c>
      <c r="AF10" s="40"/>
      <c r="AG10" s="40"/>
      <c r="AH10" s="40"/>
      <c r="AI10" s="41"/>
    </row>
    <row r="11" spans="2:35" ht="22.5" customHeight="1">
      <c r="C11" s="42" t="s">
        <v>18</v>
      </c>
      <c r="D11" s="43"/>
      <c r="E11" s="43"/>
      <c r="F11" s="43"/>
      <c r="G11" s="43"/>
      <c r="H11" s="43"/>
      <c r="I11" s="38">
        <v>18</v>
      </c>
      <c r="J11" s="38"/>
      <c r="K11" s="38"/>
      <c r="L11" s="38"/>
      <c r="M11" s="38"/>
      <c r="N11" s="38"/>
      <c r="O11" s="38">
        <v>19</v>
      </c>
      <c r="P11" s="38"/>
      <c r="Q11" s="38"/>
      <c r="R11" s="38"/>
      <c r="S11" s="38"/>
      <c r="T11" s="38"/>
      <c r="U11" s="38">
        <v>27</v>
      </c>
      <c r="V11" s="38"/>
      <c r="W11" s="38"/>
      <c r="X11" s="38"/>
      <c r="Y11" s="38"/>
      <c r="Z11" s="38" t="s">
        <v>17</v>
      </c>
      <c r="AA11" s="38"/>
      <c r="AB11" s="38"/>
      <c r="AC11" s="38"/>
      <c r="AD11" s="38"/>
      <c r="AE11" s="40" t="s">
        <v>17</v>
      </c>
      <c r="AF11" s="40"/>
      <c r="AG11" s="40"/>
      <c r="AH11" s="40"/>
      <c r="AI11" s="41"/>
    </row>
    <row r="12" spans="2:35" ht="22.5" customHeight="1">
      <c r="C12" s="35" t="s">
        <v>19</v>
      </c>
      <c r="D12" s="36"/>
      <c r="E12" s="36"/>
      <c r="F12" s="36"/>
      <c r="G12" s="36"/>
      <c r="H12" s="37"/>
      <c r="I12" s="38">
        <v>18</v>
      </c>
      <c r="J12" s="38"/>
      <c r="K12" s="38"/>
      <c r="L12" s="38"/>
      <c r="M12" s="38"/>
      <c r="N12" s="38"/>
      <c r="O12" s="38">
        <v>20</v>
      </c>
      <c r="P12" s="38"/>
      <c r="Q12" s="38"/>
      <c r="R12" s="38"/>
      <c r="S12" s="38"/>
      <c r="T12" s="38"/>
      <c r="U12" s="38" t="s">
        <v>20</v>
      </c>
      <c r="V12" s="38"/>
      <c r="W12" s="38"/>
      <c r="X12" s="38"/>
      <c r="Y12" s="38"/>
      <c r="Z12" s="44" t="s">
        <v>21</v>
      </c>
      <c r="AA12" s="38"/>
      <c r="AB12" s="38"/>
      <c r="AC12" s="38"/>
      <c r="AD12" s="38"/>
      <c r="AE12" s="39" t="s">
        <v>22</v>
      </c>
      <c r="AF12" s="40"/>
      <c r="AG12" s="40"/>
      <c r="AH12" s="40"/>
      <c r="AI12" s="41"/>
    </row>
    <row r="13" spans="2:35" ht="22.5" customHeight="1">
      <c r="C13" s="35" t="s">
        <v>23</v>
      </c>
      <c r="D13" s="36"/>
      <c r="E13" s="36"/>
      <c r="F13" s="36"/>
      <c r="G13" s="36"/>
      <c r="H13" s="37"/>
      <c r="I13" s="38">
        <v>18</v>
      </c>
      <c r="J13" s="38"/>
      <c r="K13" s="38"/>
      <c r="L13" s="38"/>
      <c r="M13" s="38"/>
      <c r="N13" s="38"/>
      <c r="O13" s="38">
        <v>20</v>
      </c>
      <c r="P13" s="38"/>
      <c r="Q13" s="38"/>
      <c r="R13" s="38"/>
      <c r="S13" s="38"/>
      <c r="T13" s="38"/>
      <c r="U13" s="38">
        <v>40</v>
      </c>
      <c r="V13" s="38"/>
      <c r="W13" s="38"/>
      <c r="X13" s="38"/>
      <c r="Y13" s="38"/>
      <c r="Z13" s="38" t="s">
        <v>14</v>
      </c>
      <c r="AA13" s="38"/>
      <c r="AB13" s="38"/>
      <c r="AC13" s="38"/>
      <c r="AD13" s="38"/>
      <c r="AE13" s="39" t="s">
        <v>14</v>
      </c>
      <c r="AF13" s="40"/>
      <c r="AG13" s="40"/>
      <c r="AH13" s="40"/>
      <c r="AI13" s="41"/>
    </row>
    <row r="14" spans="2:35" ht="22.5" customHeight="1">
      <c r="C14" s="42" t="s">
        <v>24</v>
      </c>
      <c r="D14" s="43"/>
      <c r="E14" s="43"/>
      <c r="F14" s="43"/>
      <c r="G14" s="43"/>
      <c r="H14" s="43"/>
      <c r="I14" s="38">
        <v>18</v>
      </c>
      <c r="J14" s="38"/>
      <c r="K14" s="38"/>
      <c r="L14" s="38"/>
      <c r="M14" s="38"/>
      <c r="N14" s="38"/>
      <c r="O14" s="38">
        <v>20</v>
      </c>
      <c r="P14" s="38"/>
      <c r="Q14" s="38"/>
      <c r="R14" s="38"/>
      <c r="S14" s="38"/>
      <c r="T14" s="38"/>
      <c r="U14" s="38">
        <v>40</v>
      </c>
      <c r="V14" s="38"/>
      <c r="W14" s="38"/>
      <c r="X14" s="38"/>
      <c r="Y14" s="38"/>
      <c r="Z14" s="38" t="s">
        <v>14</v>
      </c>
      <c r="AA14" s="38"/>
      <c r="AB14" s="38"/>
      <c r="AC14" s="38"/>
      <c r="AD14" s="38"/>
      <c r="AE14" s="39" t="s">
        <v>14</v>
      </c>
      <c r="AF14" s="40"/>
      <c r="AG14" s="40"/>
      <c r="AH14" s="40"/>
      <c r="AI14" s="41"/>
    </row>
    <row r="15" spans="2:35" ht="22.5" customHeight="1">
      <c r="C15" s="45" t="s">
        <v>25</v>
      </c>
      <c r="D15" s="46"/>
      <c r="E15" s="46"/>
      <c r="F15" s="46"/>
      <c r="G15" s="46"/>
      <c r="H15" s="46"/>
      <c r="I15" s="47">
        <v>18</v>
      </c>
      <c r="J15" s="47"/>
      <c r="K15" s="47"/>
      <c r="L15" s="47"/>
      <c r="M15" s="47"/>
      <c r="N15" s="47"/>
      <c r="O15" s="47">
        <v>20</v>
      </c>
      <c r="P15" s="47"/>
      <c r="Q15" s="47"/>
      <c r="R15" s="47"/>
      <c r="S15" s="47"/>
      <c r="T15" s="47"/>
      <c r="U15" s="47">
        <v>35</v>
      </c>
      <c r="V15" s="47"/>
      <c r="W15" s="47"/>
      <c r="X15" s="47"/>
      <c r="Y15" s="47"/>
      <c r="Z15" s="47" t="s">
        <v>14</v>
      </c>
      <c r="AA15" s="47"/>
      <c r="AB15" s="47"/>
      <c r="AC15" s="47"/>
      <c r="AD15" s="47"/>
      <c r="AE15" s="48" t="s">
        <v>14</v>
      </c>
      <c r="AF15" s="49"/>
      <c r="AG15" s="49"/>
      <c r="AH15" s="49"/>
      <c r="AI15" s="50"/>
    </row>
    <row r="16" spans="2:35" ht="22.5" customHeight="1">
      <c r="B16" s="10"/>
      <c r="C16" s="51"/>
      <c r="D16" s="10"/>
      <c r="E16" s="10"/>
      <c r="F16" s="10"/>
      <c r="G16" s="10"/>
      <c r="H16" s="1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0"/>
      <c r="AF16" s="10"/>
      <c r="AG16" s="10"/>
      <c r="AH16" s="10"/>
      <c r="AI16" s="10"/>
    </row>
    <row r="17" spans="3:35" ht="22.5" customHeight="1">
      <c r="C17" s="52" t="s">
        <v>26</v>
      </c>
      <c r="D17" s="9"/>
      <c r="E17" s="9"/>
      <c r="F17" s="10"/>
      <c r="G17" s="10"/>
      <c r="H17" s="11"/>
      <c r="I17" s="11"/>
      <c r="J17" s="11"/>
      <c r="K17" s="12"/>
      <c r="L17" s="12"/>
      <c r="M17" s="10"/>
      <c r="N17" s="10"/>
      <c r="O17" s="10"/>
      <c r="P17" s="10"/>
      <c r="Q17" s="10"/>
      <c r="R17" s="10"/>
      <c r="S17" s="10"/>
      <c r="T17" s="10"/>
      <c r="U17" s="14"/>
      <c r="V17" s="14"/>
      <c r="W17" s="14"/>
      <c r="X17" s="12"/>
      <c r="Y17" s="12"/>
      <c r="Z17" s="53"/>
      <c r="AA17" s="14"/>
      <c r="AB17" s="14"/>
      <c r="AC17" s="14"/>
      <c r="AD17" s="14"/>
      <c r="AE17" s="14"/>
      <c r="AF17" s="14"/>
      <c r="AG17" s="14"/>
      <c r="AH17" s="14"/>
    </row>
    <row r="18" spans="3:35" ht="22.5" customHeight="1">
      <c r="C18" s="15" t="s">
        <v>5</v>
      </c>
      <c r="D18" s="16"/>
      <c r="E18" s="16"/>
      <c r="F18" s="16"/>
      <c r="G18" s="16"/>
      <c r="H18" s="17"/>
      <c r="I18" s="21" t="s">
        <v>6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 t="s">
        <v>7</v>
      </c>
      <c r="V18" s="21"/>
      <c r="W18" s="21"/>
      <c r="X18" s="21"/>
      <c r="Y18" s="21"/>
      <c r="Z18" s="21"/>
      <c r="AA18" s="21"/>
      <c r="AB18" s="21"/>
      <c r="AC18" s="21"/>
      <c r="AD18" s="21"/>
      <c r="AE18" s="21" t="s">
        <v>8</v>
      </c>
      <c r="AF18" s="21"/>
      <c r="AG18" s="21"/>
      <c r="AH18" s="21"/>
      <c r="AI18" s="22"/>
    </row>
    <row r="19" spans="3:35" ht="22.5" customHeight="1" thickBot="1">
      <c r="C19" s="23"/>
      <c r="D19" s="24"/>
      <c r="E19" s="24"/>
      <c r="F19" s="24"/>
      <c r="G19" s="24"/>
      <c r="H19" s="25"/>
      <c r="I19" s="26" t="s">
        <v>9</v>
      </c>
      <c r="J19" s="26"/>
      <c r="K19" s="26"/>
      <c r="L19" s="26"/>
      <c r="M19" s="26"/>
      <c r="N19" s="26"/>
      <c r="O19" s="26" t="s">
        <v>10</v>
      </c>
      <c r="P19" s="26"/>
      <c r="Q19" s="26"/>
      <c r="R19" s="26"/>
      <c r="S19" s="26"/>
      <c r="T19" s="26"/>
      <c r="U19" s="26" t="s">
        <v>11</v>
      </c>
      <c r="V19" s="26"/>
      <c r="W19" s="26"/>
      <c r="X19" s="26"/>
      <c r="Y19" s="26"/>
      <c r="Z19" s="26" t="s">
        <v>12</v>
      </c>
      <c r="AA19" s="26"/>
      <c r="AB19" s="26"/>
      <c r="AC19" s="26"/>
      <c r="AD19" s="26"/>
      <c r="AE19" s="26"/>
      <c r="AF19" s="26"/>
      <c r="AG19" s="26"/>
      <c r="AH19" s="26"/>
      <c r="AI19" s="27"/>
    </row>
    <row r="20" spans="3:35" ht="22.5" customHeight="1" thickTop="1">
      <c r="C20" s="28" t="s">
        <v>27</v>
      </c>
      <c r="D20" s="29"/>
      <c r="E20" s="29"/>
      <c r="F20" s="29"/>
      <c r="G20" s="29"/>
      <c r="H20" s="30"/>
      <c r="I20" s="54">
        <v>16.399999999999999</v>
      </c>
      <c r="J20" s="54"/>
      <c r="K20" s="54"/>
      <c r="L20" s="54"/>
      <c r="M20" s="54"/>
      <c r="N20" s="54"/>
      <c r="O20" s="54">
        <v>17</v>
      </c>
      <c r="P20" s="54"/>
      <c r="Q20" s="54"/>
      <c r="R20" s="54"/>
      <c r="S20" s="54"/>
      <c r="T20" s="54"/>
      <c r="U20" s="54" t="s">
        <v>17</v>
      </c>
      <c r="V20" s="54"/>
      <c r="W20" s="54"/>
      <c r="X20" s="54"/>
      <c r="Y20" s="54"/>
      <c r="Z20" s="55">
        <v>9.8000000000000007</v>
      </c>
      <c r="AA20" s="55"/>
      <c r="AB20" s="55"/>
      <c r="AC20" s="55"/>
      <c r="AD20" s="55"/>
      <c r="AE20" s="33" t="s">
        <v>17</v>
      </c>
      <c r="AF20" s="33"/>
      <c r="AG20" s="33"/>
      <c r="AH20" s="33"/>
      <c r="AI20" s="34"/>
    </row>
    <row r="21" spans="3:35" ht="22.5" customHeight="1">
      <c r="C21" s="35" t="s">
        <v>28</v>
      </c>
      <c r="D21" s="36"/>
      <c r="E21" s="36"/>
      <c r="F21" s="36"/>
      <c r="G21" s="36"/>
      <c r="H21" s="37"/>
      <c r="I21" s="31">
        <v>18</v>
      </c>
      <c r="J21" s="56"/>
      <c r="K21" s="56"/>
      <c r="L21" s="56"/>
      <c r="M21" s="56"/>
      <c r="N21" s="57"/>
      <c r="O21" s="31">
        <v>20</v>
      </c>
      <c r="P21" s="56"/>
      <c r="Q21" s="56"/>
      <c r="R21" s="56"/>
      <c r="S21" s="56"/>
      <c r="T21" s="57"/>
      <c r="U21" s="31">
        <v>27</v>
      </c>
      <c r="V21" s="56"/>
      <c r="W21" s="56"/>
      <c r="X21" s="56"/>
      <c r="Y21" s="57"/>
      <c r="Z21" s="31" t="s">
        <v>17</v>
      </c>
      <c r="AA21" s="56"/>
      <c r="AB21" s="56"/>
      <c r="AC21" s="56"/>
      <c r="AD21" s="57"/>
      <c r="AE21" s="58" t="s">
        <v>17</v>
      </c>
      <c r="AF21" s="59"/>
      <c r="AG21" s="59"/>
      <c r="AH21" s="59"/>
      <c r="AI21" s="60"/>
    </row>
    <row r="22" spans="3:35" ht="22.5" customHeight="1">
      <c r="C22" s="35" t="s">
        <v>29</v>
      </c>
      <c r="D22" s="36"/>
      <c r="E22" s="36"/>
      <c r="F22" s="36"/>
      <c r="G22" s="36"/>
      <c r="H22" s="37"/>
      <c r="I22" s="31">
        <v>19</v>
      </c>
      <c r="J22" s="56"/>
      <c r="K22" s="56"/>
      <c r="L22" s="56"/>
      <c r="M22" s="56"/>
      <c r="N22" s="57"/>
      <c r="O22" s="31">
        <v>20</v>
      </c>
      <c r="P22" s="56"/>
      <c r="Q22" s="56"/>
      <c r="R22" s="56"/>
      <c r="S22" s="56"/>
      <c r="T22" s="57"/>
      <c r="U22" s="31">
        <v>32</v>
      </c>
      <c r="V22" s="56"/>
      <c r="W22" s="56"/>
      <c r="X22" s="56"/>
      <c r="Y22" s="57"/>
      <c r="Z22" s="31" t="s">
        <v>17</v>
      </c>
      <c r="AA22" s="56"/>
      <c r="AB22" s="56"/>
      <c r="AC22" s="56"/>
      <c r="AD22" s="57"/>
      <c r="AE22" s="58" t="s">
        <v>17</v>
      </c>
      <c r="AF22" s="59"/>
      <c r="AG22" s="59"/>
      <c r="AH22" s="59"/>
      <c r="AI22" s="60"/>
    </row>
    <row r="23" spans="3:35" ht="22.5" customHeight="1">
      <c r="C23" s="61" t="s">
        <v>30</v>
      </c>
      <c r="D23" s="62"/>
      <c r="E23" s="62"/>
      <c r="F23" s="62"/>
      <c r="G23" s="62"/>
      <c r="H23" s="63"/>
      <c r="I23" s="64">
        <v>20</v>
      </c>
      <c r="J23" s="65"/>
      <c r="K23" s="65"/>
      <c r="L23" s="65"/>
      <c r="M23" s="65"/>
      <c r="N23" s="66"/>
      <c r="O23" s="64">
        <v>20</v>
      </c>
      <c r="P23" s="65"/>
      <c r="Q23" s="65"/>
      <c r="R23" s="65"/>
      <c r="S23" s="65"/>
      <c r="T23" s="66"/>
      <c r="U23" s="64">
        <v>32</v>
      </c>
      <c r="V23" s="65"/>
      <c r="W23" s="65"/>
      <c r="X23" s="65"/>
      <c r="Y23" s="66"/>
      <c r="Z23" s="64">
        <v>15</v>
      </c>
      <c r="AA23" s="65"/>
      <c r="AB23" s="65"/>
      <c r="AC23" s="65"/>
      <c r="AD23" s="66"/>
      <c r="AE23" s="67" t="s">
        <v>17</v>
      </c>
      <c r="AF23" s="68"/>
      <c r="AG23" s="68"/>
      <c r="AH23" s="68"/>
      <c r="AI23" s="69"/>
    </row>
    <row r="24" spans="3:35" ht="22.5" customHeight="1">
      <c r="C24" s="9"/>
      <c r="D24" s="9"/>
      <c r="E24" s="9"/>
      <c r="F24" s="10"/>
      <c r="G24" s="10"/>
      <c r="H24" s="11"/>
      <c r="I24" s="11"/>
      <c r="J24" s="11"/>
      <c r="K24" s="12"/>
      <c r="L24" s="12"/>
      <c r="M24" s="10"/>
      <c r="N24" s="10"/>
      <c r="O24" s="10"/>
      <c r="P24" s="10"/>
      <c r="Q24" s="10"/>
      <c r="R24" s="10"/>
      <c r="S24" s="10"/>
      <c r="T24" s="10"/>
      <c r="U24" s="14"/>
      <c r="V24" s="14"/>
      <c r="W24" s="14"/>
      <c r="X24" s="12"/>
      <c r="Y24" s="12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3:35" ht="22.5" customHeight="1">
      <c r="C25" s="8" t="s">
        <v>31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1"/>
      <c r="AC25" s="71"/>
      <c r="AD25" s="71"/>
      <c r="AE25" s="71"/>
      <c r="AF25" s="71"/>
      <c r="AG25" s="71"/>
      <c r="AH25" s="71"/>
      <c r="AI25" s="71"/>
    </row>
    <row r="26" spans="3:35" ht="22.5" customHeight="1" thickBot="1">
      <c r="C26" s="72" t="s">
        <v>32</v>
      </c>
      <c r="D26" s="73"/>
      <c r="E26" s="73"/>
      <c r="F26" s="73"/>
      <c r="G26" s="73"/>
      <c r="H26" s="73"/>
      <c r="I26" s="73"/>
      <c r="J26" s="73"/>
      <c r="K26" s="74"/>
      <c r="L26" s="75" t="s">
        <v>33</v>
      </c>
      <c r="M26" s="75"/>
      <c r="N26" s="75"/>
      <c r="O26" s="75"/>
      <c r="P26" s="75"/>
      <c r="Q26" s="75"/>
      <c r="R26" s="75"/>
      <c r="S26" s="75"/>
      <c r="T26" s="75"/>
      <c r="U26" s="75" t="s">
        <v>34</v>
      </c>
      <c r="V26" s="75"/>
      <c r="W26" s="75"/>
      <c r="X26" s="75"/>
      <c r="Y26" s="75"/>
      <c r="Z26" s="75"/>
      <c r="AA26" s="75"/>
      <c r="AB26" s="75"/>
      <c r="AC26" s="75"/>
      <c r="AD26" s="73" t="s">
        <v>35</v>
      </c>
      <c r="AE26" s="73"/>
      <c r="AF26" s="73"/>
      <c r="AG26" s="73"/>
      <c r="AH26" s="73"/>
      <c r="AI26" s="76"/>
    </row>
    <row r="27" spans="3:35" ht="22.5" customHeight="1" thickTop="1">
      <c r="C27" s="77" t="s">
        <v>36</v>
      </c>
      <c r="D27" s="78"/>
      <c r="E27" s="78"/>
      <c r="F27" s="78"/>
      <c r="G27" s="78"/>
      <c r="H27" s="78"/>
      <c r="I27" s="78"/>
      <c r="J27" s="78"/>
      <c r="K27" s="79"/>
      <c r="L27" s="80">
        <f>O43</f>
        <v>1.8480000000000001</v>
      </c>
      <c r="M27" s="80"/>
      <c r="N27" s="80"/>
      <c r="O27" s="80"/>
      <c r="P27" s="80"/>
      <c r="Q27" s="80"/>
      <c r="R27" s="80"/>
      <c r="S27" s="80"/>
      <c r="T27" s="80"/>
      <c r="U27" s="81">
        <v>1.1000000000000001</v>
      </c>
      <c r="V27" s="81"/>
      <c r="W27" s="81"/>
      <c r="X27" s="81"/>
      <c r="Y27" s="81"/>
      <c r="Z27" s="81"/>
      <c r="AA27" s="81"/>
      <c r="AB27" s="81"/>
      <c r="AC27" s="81"/>
      <c r="AD27" s="82" t="str">
        <f>IF(L27&lt;U27,"N.G","O.K")</f>
        <v>O.K</v>
      </c>
      <c r="AE27" s="83"/>
      <c r="AF27" s="83"/>
      <c r="AG27" s="83"/>
      <c r="AH27" s="83"/>
      <c r="AI27" s="83"/>
    </row>
    <row r="28" spans="3:35" ht="22.5" customHeight="1">
      <c r="C28" s="84" t="s">
        <v>37</v>
      </c>
      <c r="D28" s="85"/>
      <c r="E28" s="85"/>
      <c r="F28" s="85"/>
      <c r="G28" s="85"/>
      <c r="H28" s="85"/>
      <c r="I28" s="85"/>
      <c r="J28" s="85"/>
      <c r="K28" s="86"/>
      <c r="L28" s="87">
        <f>O54</f>
        <v>1.6319999999999999</v>
      </c>
      <c r="M28" s="87"/>
      <c r="N28" s="87"/>
      <c r="O28" s="87"/>
      <c r="P28" s="87"/>
      <c r="Q28" s="87"/>
      <c r="R28" s="87"/>
      <c r="S28" s="87"/>
      <c r="T28" s="87"/>
      <c r="U28" s="81">
        <f>C54</f>
        <v>1.3</v>
      </c>
      <c r="V28" s="81"/>
      <c r="W28" s="81"/>
      <c r="X28" s="81"/>
      <c r="Y28" s="81"/>
      <c r="Z28" s="81"/>
      <c r="AA28" s="81"/>
      <c r="AB28" s="81"/>
      <c r="AC28" s="81"/>
      <c r="AD28" s="82" t="str">
        <f>IF(L28&lt;U28,"N.G","O.K")</f>
        <v>O.K</v>
      </c>
      <c r="AE28" s="83"/>
      <c r="AF28" s="83"/>
      <c r="AG28" s="83"/>
      <c r="AH28" s="83"/>
      <c r="AI28" s="83"/>
    </row>
    <row r="29" spans="3:35" ht="22.5" customHeight="1">
      <c r="C29" s="88" t="s">
        <v>38</v>
      </c>
      <c r="D29" s="89"/>
      <c r="E29" s="89"/>
      <c r="F29" s="89"/>
      <c r="G29" s="89"/>
      <c r="H29" s="89"/>
      <c r="I29" s="89"/>
      <c r="J29" s="89"/>
      <c r="K29" s="90"/>
      <c r="L29" s="91">
        <f>O65</f>
        <v>1.3640000000000001</v>
      </c>
      <c r="M29" s="91"/>
      <c r="N29" s="91"/>
      <c r="O29" s="91"/>
      <c r="P29" s="91"/>
      <c r="Q29" s="91"/>
      <c r="R29" s="91"/>
      <c r="S29" s="91"/>
      <c r="T29" s="91"/>
      <c r="U29" s="92">
        <f>C43</f>
        <v>1.1000000000000001</v>
      </c>
      <c r="V29" s="92"/>
      <c r="W29" s="92"/>
      <c r="X29" s="92"/>
      <c r="Y29" s="92"/>
      <c r="Z29" s="92"/>
      <c r="AA29" s="92"/>
      <c r="AB29" s="92"/>
      <c r="AC29" s="92"/>
      <c r="AD29" s="93" t="str">
        <f>IF(L29&lt;U29,"N.G","O.K")</f>
        <v>O.K</v>
      </c>
      <c r="AE29" s="94"/>
      <c r="AF29" s="94"/>
      <c r="AG29" s="94"/>
      <c r="AH29" s="94"/>
      <c r="AI29" s="94"/>
    </row>
    <row r="30" spans="3:35" ht="22.5" customHeight="1">
      <c r="C30" s="95"/>
      <c r="D30" s="95"/>
      <c r="E30" s="95"/>
      <c r="F30" s="95"/>
      <c r="G30" s="95"/>
      <c r="H30" s="95"/>
      <c r="I30" s="95"/>
      <c r="J30" s="95"/>
      <c r="K30" s="96"/>
      <c r="L30" s="96"/>
      <c r="M30" s="96"/>
      <c r="N30" s="96"/>
      <c r="O30" s="96"/>
      <c r="P30" s="96"/>
      <c r="Q30" s="96"/>
      <c r="R30" s="95"/>
      <c r="S30" s="95"/>
      <c r="T30" s="95"/>
      <c r="U30" s="96"/>
      <c r="V30" s="96"/>
      <c r="W30" s="96"/>
      <c r="X30" s="96"/>
      <c r="Y30" s="96"/>
      <c r="Z30" s="96"/>
      <c r="AA30" s="96"/>
      <c r="AB30" s="96"/>
      <c r="AC30" s="96"/>
      <c r="AD30" s="97"/>
      <c r="AE30" s="97"/>
      <c r="AF30" s="97"/>
      <c r="AG30" s="97"/>
      <c r="AH30" s="97"/>
      <c r="AI30" s="97"/>
    </row>
    <row r="31" spans="3:35" ht="22.5" customHeight="1">
      <c r="C31" s="95"/>
      <c r="D31" s="95"/>
      <c r="E31" s="95"/>
      <c r="F31" s="95"/>
      <c r="G31" s="95"/>
      <c r="H31" s="95"/>
      <c r="I31" s="95"/>
      <c r="J31" s="95"/>
      <c r="K31" s="96"/>
      <c r="L31" s="96"/>
      <c r="M31" s="96"/>
      <c r="N31" s="96"/>
      <c r="O31" s="96"/>
      <c r="P31" s="96"/>
      <c r="Q31" s="96"/>
      <c r="R31" s="95"/>
      <c r="S31" s="95"/>
      <c r="T31" s="95"/>
      <c r="U31" s="96"/>
      <c r="V31" s="96"/>
      <c r="W31" s="96"/>
      <c r="X31" s="96"/>
      <c r="Y31" s="96"/>
      <c r="Z31" s="96"/>
      <c r="AA31" s="96"/>
      <c r="AB31" s="96"/>
      <c r="AC31" s="96"/>
      <c r="AD31" s="97"/>
      <c r="AE31" s="97"/>
      <c r="AF31" s="97"/>
      <c r="AG31" s="97"/>
      <c r="AH31" s="97"/>
      <c r="AI31" s="97"/>
    </row>
    <row r="32" spans="3:35" ht="22.5" customHeight="1">
      <c r="C32" s="95"/>
      <c r="D32" s="95"/>
      <c r="E32" s="95"/>
      <c r="F32" s="95"/>
      <c r="G32" s="95"/>
      <c r="H32" s="95"/>
      <c r="I32" s="95"/>
      <c r="J32" s="95"/>
      <c r="K32" s="96"/>
      <c r="L32" s="96"/>
      <c r="M32" s="96"/>
      <c r="N32" s="96"/>
      <c r="O32" s="96"/>
      <c r="P32" s="96"/>
      <c r="Q32" s="96"/>
      <c r="R32" s="95"/>
      <c r="S32" s="95"/>
      <c r="T32" s="95"/>
      <c r="U32" s="96"/>
      <c r="V32" s="96"/>
      <c r="W32" s="96"/>
      <c r="X32" s="96"/>
      <c r="Y32" s="96"/>
      <c r="Z32" s="96"/>
      <c r="AA32" s="96"/>
      <c r="AB32" s="96"/>
      <c r="AC32" s="96"/>
      <c r="AD32" s="97"/>
      <c r="AE32" s="97"/>
      <c r="AF32" s="97"/>
      <c r="AG32" s="97"/>
      <c r="AH32" s="97"/>
      <c r="AI32" s="97"/>
    </row>
    <row r="33" spans="2:35" ht="22.5" customHeight="1">
      <c r="B33" s="7"/>
      <c r="C33" s="8" t="s">
        <v>39</v>
      </c>
    </row>
    <row r="34" spans="2:35" ht="22.5" customHeight="1" thickBot="1">
      <c r="C34" s="98" t="s">
        <v>40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100"/>
    </row>
    <row r="35" spans="2:35" ht="22.5" customHeight="1" thickTop="1">
      <c r="C35" s="101"/>
      <c r="G35" s="53"/>
      <c r="AI35" s="102"/>
    </row>
    <row r="36" spans="2:35" ht="22.5" customHeight="1">
      <c r="C36" s="103"/>
      <c r="AI36" s="102"/>
    </row>
    <row r="37" spans="2:35" ht="22.5" customHeight="1">
      <c r="C37" s="101"/>
      <c r="AI37" s="102"/>
    </row>
    <row r="38" spans="2:35" ht="22.5" customHeight="1">
      <c r="C38" s="103"/>
      <c r="AH38" s="53"/>
      <c r="AI38" s="102"/>
    </row>
    <row r="39" spans="2:35" ht="22.5" customHeight="1">
      <c r="C39" s="103"/>
      <c r="AI39" s="102"/>
    </row>
    <row r="40" spans="2:35" ht="22.5" customHeight="1">
      <c r="C40" s="103"/>
      <c r="AI40" s="102"/>
    </row>
    <row r="41" spans="2:35" ht="22.5" customHeight="1">
      <c r="C41" s="103"/>
      <c r="AI41" s="102"/>
    </row>
    <row r="42" spans="2:35" ht="21.6" customHeight="1">
      <c r="C42" s="104" t="s">
        <v>34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 t="s">
        <v>41</v>
      </c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 t="s">
        <v>42</v>
      </c>
      <c r="AA42" s="105"/>
      <c r="AB42" s="105"/>
      <c r="AC42" s="105"/>
      <c r="AD42" s="105"/>
      <c r="AE42" s="105"/>
      <c r="AF42" s="105"/>
      <c r="AG42" s="105"/>
      <c r="AH42" s="105"/>
      <c r="AI42" s="106"/>
    </row>
    <row r="43" spans="2:35" ht="21.6" customHeight="1">
      <c r="C43" s="107">
        <v>1.1000000000000001</v>
      </c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9">
        <v>1.8480000000000001</v>
      </c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10" t="str">
        <f>IF(C43&gt;O43,"N.G","O.K")</f>
        <v>O.K</v>
      </c>
      <c r="AA43" s="110"/>
      <c r="AB43" s="110"/>
      <c r="AC43" s="110"/>
      <c r="AD43" s="110"/>
      <c r="AE43" s="110"/>
      <c r="AF43" s="110"/>
      <c r="AG43" s="110"/>
      <c r="AH43" s="110"/>
      <c r="AI43" s="111"/>
    </row>
    <row r="44" spans="2:35" ht="15" customHeight="1"/>
    <row r="45" spans="2:35" ht="22.5" customHeight="1" thickBot="1">
      <c r="C45" s="98" t="s">
        <v>43</v>
      </c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100"/>
    </row>
    <row r="46" spans="2:35" ht="22.5" customHeight="1" thickTop="1">
      <c r="C46" s="101"/>
      <c r="G46" s="53"/>
      <c r="AI46" s="102"/>
    </row>
    <row r="47" spans="2:35" ht="22.5" customHeight="1">
      <c r="C47" s="103"/>
      <c r="AI47" s="102"/>
    </row>
    <row r="48" spans="2:35" ht="22.5" customHeight="1">
      <c r="C48" s="101"/>
      <c r="AI48" s="102"/>
    </row>
    <row r="49" spans="3:35" ht="22.5" customHeight="1">
      <c r="C49" s="103"/>
      <c r="AH49" s="53"/>
      <c r="AI49" s="102"/>
    </row>
    <row r="50" spans="3:35" ht="22.5" customHeight="1">
      <c r="C50" s="103"/>
      <c r="AI50" s="102"/>
    </row>
    <row r="51" spans="3:35" ht="22.5" customHeight="1">
      <c r="C51" s="103"/>
      <c r="AI51" s="102"/>
    </row>
    <row r="52" spans="3:35" ht="22.5" customHeight="1">
      <c r="C52" s="103"/>
      <c r="AI52" s="102"/>
    </row>
    <row r="53" spans="3:35" ht="21.6" customHeight="1">
      <c r="C53" s="104" t="s">
        <v>34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 t="s">
        <v>41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 t="s">
        <v>42</v>
      </c>
      <c r="AA53" s="105"/>
      <c r="AB53" s="105"/>
      <c r="AC53" s="105"/>
      <c r="AD53" s="105"/>
      <c r="AE53" s="105"/>
      <c r="AF53" s="105"/>
      <c r="AG53" s="105"/>
      <c r="AH53" s="105"/>
      <c r="AI53" s="106"/>
    </row>
    <row r="54" spans="3:35" ht="21.6" customHeight="1">
      <c r="C54" s="107">
        <v>1.3</v>
      </c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9">
        <v>1.6319999999999999</v>
      </c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10" t="str">
        <f>IF(C54&gt;O54,"N.G","O.K")</f>
        <v>O.K</v>
      </c>
      <c r="AA54" s="110"/>
      <c r="AB54" s="110"/>
      <c r="AC54" s="110"/>
      <c r="AD54" s="110"/>
      <c r="AE54" s="110"/>
      <c r="AF54" s="110"/>
      <c r="AG54" s="110"/>
      <c r="AH54" s="110"/>
      <c r="AI54" s="111"/>
    </row>
    <row r="55" spans="3:35" ht="15" customHeight="1"/>
    <row r="56" spans="3:35" ht="22.5" customHeight="1" thickBot="1">
      <c r="C56" s="98" t="s">
        <v>44</v>
      </c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100"/>
    </row>
    <row r="57" spans="3:35" ht="22.5" customHeight="1" thickTop="1">
      <c r="C57" s="101"/>
      <c r="G57" s="53"/>
      <c r="AI57" s="102"/>
    </row>
    <row r="58" spans="3:35" ht="22.5" customHeight="1">
      <c r="C58" s="103"/>
      <c r="AI58" s="102"/>
    </row>
    <row r="59" spans="3:35" ht="22.5" customHeight="1">
      <c r="C59" s="101"/>
      <c r="AI59" s="102"/>
    </row>
    <row r="60" spans="3:35" ht="22.5" customHeight="1">
      <c r="C60" s="103"/>
      <c r="AH60" s="53"/>
      <c r="AI60" s="102"/>
    </row>
    <row r="61" spans="3:35" ht="22.5" customHeight="1">
      <c r="C61" s="103"/>
      <c r="AI61" s="102"/>
    </row>
    <row r="62" spans="3:35" ht="22.5" customHeight="1">
      <c r="C62" s="103"/>
      <c r="AI62" s="102"/>
    </row>
    <row r="63" spans="3:35" ht="22.5" customHeight="1">
      <c r="C63" s="103"/>
      <c r="AI63" s="102"/>
    </row>
    <row r="64" spans="3:35" ht="21.6" customHeight="1">
      <c r="C64" s="104" t="s">
        <v>34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 t="s">
        <v>41</v>
      </c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 t="s">
        <v>42</v>
      </c>
      <c r="AA64" s="105"/>
      <c r="AB64" s="105"/>
      <c r="AC64" s="105"/>
      <c r="AD64" s="105"/>
      <c r="AE64" s="105"/>
      <c r="AF64" s="105"/>
      <c r="AG64" s="105"/>
      <c r="AH64" s="105"/>
      <c r="AI64" s="106"/>
    </row>
    <row r="65" spans="3:35" ht="21.6" customHeight="1">
      <c r="C65" s="107">
        <v>1.1000000000000001</v>
      </c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9">
        <v>1.3640000000000001</v>
      </c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10" t="str">
        <f>IF(C65&gt;O65,"N.G","O.K")</f>
        <v>O.K</v>
      </c>
      <c r="AA65" s="110"/>
      <c r="AB65" s="110"/>
      <c r="AC65" s="110"/>
      <c r="AD65" s="110"/>
      <c r="AE65" s="110"/>
      <c r="AF65" s="110"/>
      <c r="AG65" s="110"/>
      <c r="AH65" s="110"/>
      <c r="AI65" s="111"/>
    </row>
  </sheetData>
  <mergeCells count="125">
    <mergeCell ref="C56:AI56"/>
    <mergeCell ref="C64:N64"/>
    <mergeCell ref="O64:Y64"/>
    <mergeCell ref="Z64:AI64"/>
    <mergeCell ref="C65:N65"/>
    <mergeCell ref="O65:Y65"/>
    <mergeCell ref="Z65:AI65"/>
    <mergeCell ref="C45:AI45"/>
    <mergeCell ref="C53:N53"/>
    <mergeCell ref="O53:Y53"/>
    <mergeCell ref="Z53:AI53"/>
    <mergeCell ref="C54:N54"/>
    <mergeCell ref="O54:Y54"/>
    <mergeCell ref="Z54:AI54"/>
    <mergeCell ref="C34:AI34"/>
    <mergeCell ref="C42:N42"/>
    <mergeCell ref="O42:Y42"/>
    <mergeCell ref="Z42:AI42"/>
    <mergeCell ref="C43:N43"/>
    <mergeCell ref="O43:Y43"/>
    <mergeCell ref="Z43:AI43"/>
    <mergeCell ref="C28:K28"/>
    <mergeCell ref="L28:T28"/>
    <mergeCell ref="U28:AC28"/>
    <mergeCell ref="AD28:AI28"/>
    <mergeCell ref="C29:K29"/>
    <mergeCell ref="L29:T29"/>
    <mergeCell ref="U29:AC29"/>
    <mergeCell ref="AD29:AI29"/>
    <mergeCell ref="C26:K26"/>
    <mergeCell ref="L26:T26"/>
    <mergeCell ref="U26:AC26"/>
    <mergeCell ref="AD26:AI26"/>
    <mergeCell ref="C27:K27"/>
    <mergeCell ref="L27:T27"/>
    <mergeCell ref="U27:AC27"/>
    <mergeCell ref="AD27:AI27"/>
    <mergeCell ref="C23:H23"/>
    <mergeCell ref="I23:N23"/>
    <mergeCell ref="O23:T23"/>
    <mergeCell ref="U23:Y23"/>
    <mergeCell ref="Z23:AD23"/>
    <mergeCell ref="AE23:AI23"/>
    <mergeCell ref="C22:H22"/>
    <mergeCell ref="I22:N22"/>
    <mergeCell ref="O22:T22"/>
    <mergeCell ref="U22:Y22"/>
    <mergeCell ref="Z22:AD22"/>
    <mergeCell ref="AE22:AI22"/>
    <mergeCell ref="C21:H21"/>
    <mergeCell ref="I21:N21"/>
    <mergeCell ref="O21:T21"/>
    <mergeCell ref="U21:Y21"/>
    <mergeCell ref="Z21:AD21"/>
    <mergeCell ref="AE21:AI21"/>
    <mergeCell ref="C20:H20"/>
    <mergeCell ref="I20:N20"/>
    <mergeCell ref="O20:T20"/>
    <mergeCell ref="U20:Y20"/>
    <mergeCell ref="Z20:AD20"/>
    <mergeCell ref="AE20:AI20"/>
    <mergeCell ref="C18:H19"/>
    <mergeCell ref="I18:T18"/>
    <mergeCell ref="U18:AD18"/>
    <mergeCell ref="AE18:AI19"/>
    <mergeCell ref="I19:N19"/>
    <mergeCell ref="O19:T19"/>
    <mergeCell ref="U19:Y19"/>
    <mergeCell ref="Z19:AD19"/>
    <mergeCell ref="C15:H15"/>
    <mergeCell ref="I15:N15"/>
    <mergeCell ref="O15:T15"/>
    <mergeCell ref="U15:Y15"/>
    <mergeCell ref="Z15:AD15"/>
    <mergeCell ref="AE15:AI15"/>
    <mergeCell ref="C14:H14"/>
    <mergeCell ref="I14:N14"/>
    <mergeCell ref="O14:T14"/>
    <mergeCell ref="U14:Y14"/>
    <mergeCell ref="Z14:AD14"/>
    <mergeCell ref="AE14:AI14"/>
    <mergeCell ref="C13:H13"/>
    <mergeCell ref="I13:N13"/>
    <mergeCell ref="O13:T13"/>
    <mergeCell ref="U13:Y13"/>
    <mergeCell ref="Z13:AD13"/>
    <mergeCell ref="AE13:AI13"/>
    <mergeCell ref="C12:H12"/>
    <mergeCell ref="I12:N12"/>
    <mergeCell ref="O12:T12"/>
    <mergeCell ref="U12:Y12"/>
    <mergeCell ref="Z12:AD12"/>
    <mergeCell ref="AE12:AI12"/>
    <mergeCell ref="C11:H11"/>
    <mergeCell ref="I11:N11"/>
    <mergeCell ref="O11:T11"/>
    <mergeCell ref="U11:Y11"/>
    <mergeCell ref="Z11:AD11"/>
    <mergeCell ref="AE11:AI11"/>
    <mergeCell ref="C10:H10"/>
    <mergeCell ref="I10:N10"/>
    <mergeCell ref="O10:T10"/>
    <mergeCell ref="U10:Y10"/>
    <mergeCell ref="Z10:AD10"/>
    <mergeCell ref="AE10:AI10"/>
    <mergeCell ref="C9:H9"/>
    <mergeCell ref="I9:N9"/>
    <mergeCell ref="O9:T9"/>
    <mergeCell ref="U9:Y9"/>
    <mergeCell ref="Z9:AD9"/>
    <mergeCell ref="AE9:AI9"/>
    <mergeCell ref="C8:H8"/>
    <mergeCell ref="I8:N8"/>
    <mergeCell ref="O8:T8"/>
    <mergeCell ref="U8:Y8"/>
    <mergeCell ref="Z8:AD8"/>
    <mergeCell ref="AE8:AI8"/>
    <mergeCell ref="C6:H7"/>
    <mergeCell ref="I6:T6"/>
    <mergeCell ref="U6:AD6"/>
    <mergeCell ref="AE6:AI7"/>
    <mergeCell ref="I7:N7"/>
    <mergeCell ref="O7:T7"/>
    <mergeCell ref="U7:Y7"/>
    <mergeCell ref="Z7:AD7"/>
  </mergeCells>
  <phoneticPr fontId="3" type="noConversion"/>
  <pageMargins left="0.74803149606299213" right="0.74803149606299213" top="0.98425196850393704" bottom="0.98425196850393704" header="0.51181102362204722" footer="0.74803149606299213"/>
  <pageSetup paperSize="9" scale="96" orientation="portrait" r:id="rId1"/>
  <headerFooter alignWithMargins="0"/>
  <rowBreaks count="1" manualBreakCount="1">
    <brk id="32" min="1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가호안(1)(I-I') 원호활동 </vt:lpstr>
      <vt:lpstr>'가호안(1)(I-I'') 원호활동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조민규</dc:creator>
  <cp:lastModifiedBy>조민규</cp:lastModifiedBy>
  <dcterms:created xsi:type="dcterms:W3CDTF">2026-06-04T03:11:08Z</dcterms:created>
  <dcterms:modified xsi:type="dcterms:W3CDTF">2026-06-04T03:11:44Z</dcterms:modified>
</cp:coreProperties>
</file>
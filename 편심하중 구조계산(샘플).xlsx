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 Cursor\01. K-EMBANK\slope\"/>
    </mc:Choice>
  </mc:AlternateContent>
  <xr:revisionPtr revIDLastSave="0" documentId="8_{21EE839F-2F67-4DDE-A9B3-47A420E3ED0F}" xr6:coauthVersionLast="47" xr6:coauthVersionMax="47" xr10:uidLastSave="{00000000-0000-0000-0000-000000000000}"/>
  <bookViews>
    <workbookView xWindow="57600" yWindow="0" windowWidth="19200" windowHeight="21000" xr2:uid="{F80AD94F-6AAA-4A29-AD4E-B2C8BEDF0050}"/>
  </bookViews>
  <sheets>
    <sheet name="편심하중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localSheetId="0" hidden="1">#REF!</definedName>
    <definedName name="_Sort" hidden="1">#REF!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#REF!</definedName>
    <definedName name="\p" localSheetId="0">#REF!</definedName>
    <definedName name="\p">#REF!</definedName>
    <definedName name="\q" localSheetId="0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t" localSheetId="0">#REF!</definedName>
    <definedName name="\t">#REF!</definedName>
    <definedName name="\u" localSheetId="0">#REF!</definedName>
    <definedName name="\u">#REF!</definedName>
    <definedName name="\v" localSheetId="0">#REF!</definedName>
    <definedName name="\v">#REF!</definedName>
    <definedName name="\w">#N/A</definedName>
    <definedName name="\x" localSheetId="0">#REF!</definedName>
    <definedName name="\x">#REF!</definedName>
    <definedName name="\y">#N/A</definedName>
    <definedName name="\z">#N/A</definedName>
    <definedName name="aaa">#REF!</definedName>
    <definedName name="aaaa">#REF!</definedName>
    <definedName name="APP.LLW">#REF!</definedName>
    <definedName name="B" localSheetId="0">#REF!</definedName>
    <definedName name="B">#REF!</definedName>
    <definedName name="bbb">#REF!</definedName>
    <definedName name="C0">#REF!</definedName>
    <definedName name="cable높이">'[2]-15.0'!$T$27</definedName>
    <definedName name="CB">#REF!</definedName>
    <definedName name="ccc">#REF!</definedName>
    <definedName name="c값">IF(#REF!&lt;1.5,#REF!,#REF!)</definedName>
    <definedName name="D" localSheetId="0">#REF!</definedName>
    <definedName name="D">#REF!</definedName>
    <definedName name="DDD">'[3]1.2.1 마루높이결정'!$Q$192</definedName>
    <definedName name="DEPTH" localSheetId="0">#REF!</definedName>
    <definedName name="DEPTH">#REF!</definedName>
    <definedName name="Fs">#REF!</definedName>
    <definedName name="g" localSheetId="0">#REF!</definedName>
    <definedName name="g">#REF!</definedName>
    <definedName name="gamma1">#REF!</definedName>
    <definedName name="gamma2">#REF!</definedName>
    <definedName name="H" localSheetId="0">#REF!</definedName>
    <definedName name="H">#REF!</definedName>
    <definedName name="HH" localSheetId="0">#REF!</definedName>
    <definedName name="HH">#REF!</definedName>
    <definedName name="HHH" localSheetId="0">#REF!</definedName>
    <definedName name="HHH">#REF!</definedName>
    <definedName name="HHR" localSheetId="0">#REF!</definedName>
    <definedName name="HHR">#REF!</definedName>
    <definedName name="HHU" localSheetId="0">#REF!</definedName>
    <definedName name="HHU">#REF!</definedName>
    <definedName name="HV" localSheetId="0">#REF!</definedName>
    <definedName name="HV">#REF!</definedName>
    <definedName name="hw">#REF!</definedName>
    <definedName name="HWL">#REF!</definedName>
    <definedName name="kh_등가" localSheetId="0">#REF!</definedName>
    <definedName name="kh_등가">#REF!</definedName>
    <definedName name="kh_변위" localSheetId="0">#REF!</definedName>
    <definedName name="kh_변위">#REF!</definedName>
    <definedName name="L" localSheetId="0">#REF!</definedName>
    <definedName name="L">#REF!</definedName>
    <definedName name="level0" localSheetId="0">#REF!</definedName>
    <definedName name="level0">#REF!</definedName>
    <definedName name="level1" localSheetId="0">#REF!</definedName>
    <definedName name="level1">#REF!</definedName>
    <definedName name="level2" localSheetId="0">#REF!</definedName>
    <definedName name="level2">#REF!</definedName>
    <definedName name="level3" localSheetId="0">#REF!</definedName>
    <definedName name="level3">#REF!</definedName>
    <definedName name="level4" localSheetId="0">#REF!</definedName>
    <definedName name="level4">#REF!</definedName>
    <definedName name="level5" localSheetId="0">#REF!</definedName>
    <definedName name="level5">#REF!</definedName>
    <definedName name="m" localSheetId="0">#REF!</definedName>
    <definedName name="m">#REF!</definedName>
    <definedName name="Nc">#REF!</definedName>
    <definedName name="nu" localSheetId="0">#REF!</definedName>
    <definedName name="nu">#REF!</definedName>
    <definedName name="_xlnm.Print_Area" localSheetId="0">편심하중!$B$1:$AI$93</definedName>
    <definedName name="_xlnm.Print_Area">#REF!</definedName>
    <definedName name="PRINT_AREA_MI" localSheetId="0">#REF!</definedName>
    <definedName name="PRINT_AREA_MI">#REF!</definedName>
    <definedName name="qe">#REF!</definedName>
    <definedName name="rho" localSheetId="0">#REF!</definedName>
    <definedName name="rh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sdsa" localSheetId="0">#REF!</definedName>
    <definedName name="sdsa">#REF!</definedName>
    <definedName name="T" localSheetId="0">#REF!</definedName>
    <definedName name="T">#REF!</definedName>
    <definedName name="UW_210" localSheetId="0">#REF!</definedName>
    <definedName name="UW_210">#REF!</definedName>
    <definedName name="w0" localSheetId="0">#REF!</definedName>
    <definedName name="w0">#REF!</definedName>
    <definedName name="We" localSheetId="0">#REF!</definedName>
    <definedName name="We">#REF!</definedName>
    <definedName name="Wn" localSheetId="0">#REF!</definedName>
    <definedName name="Wn">#REF!</definedName>
    <definedName name="x" localSheetId="0">[4]복공계산!#REF!</definedName>
    <definedName name="x">[5]복공계산!#REF!</definedName>
    <definedName name="z" localSheetId="0">#REF!</definedName>
    <definedName name="z">#REF!</definedName>
    <definedName name="간격">'[6]매립부(철판)'!$E$70</definedName>
    <definedName name="강도">#REF!</definedName>
    <definedName name="강재덮개" localSheetId="0">#REF!</definedName>
    <definedName name="강재덮개">#REF!</definedName>
    <definedName name="계선곡주" localSheetId="0">#REF!</definedName>
    <definedName name="계선곡주">#REF!</definedName>
    <definedName name="곡주간격" localSheetId="0">#REF!</definedName>
    <definedName name="곡주간격">#REF!</definedName>
    <definedName name="공중진도" localSheetId="0">#REF!</definedName>
    <definedName name="공중진도">#REF!</definedName>
    <definedName name="구배">#REF!</definedName>
    <definedName name="구조물">'[7]4.2.1 마루높이 검토'!$F$19</definedName>
    <definedName name="구조물경사">#REF!</definedName>
    <definedName name="그림">IF(#REF!&gt;1.5,#REF!,#REF!)</definedName>
    <definedName name="그림1">IF(#REF!&lt;1.5,#REF!,#REF!)</definedName>
    <definedName name="길이">#REF!</definedName>
    <definedName name="덮개H" localSheetId="0">#REF!</definedName>
    <definedName name="덮개H">#REF!</definedName>
    <definedName name="덮개종류" localSheetId="0">#REF!</definedName>
    <definedName name="덮개종류">#REF!</definedName>
    <definedName name="동토압계산" localSheetId="0">#REF!</definedName>
    <definedName name="동토압계산">#REF!</definedName>
    <definedName name="뒷채움1" localSheetId="0">#REF!</definedName>
    <definedName name="뒷채움1">#REF!</definedName>
    <definedName name="뒷채움2" localSheetId="0">#REF!</definedName>
    <definedName name="뒷채움2">#REF!</definedName>
    <definedName name="ㅁ1" localSheetId="0">#REF!</definedName>
    <definedName name="ㅁ1">#REF!</definedName>
    <definedName name="마루높이">#REF!</definedName>
    <definedName name="마운드전면구배" localSheetId="0">#REF!</definedName>
    <definedName name="마운드전면구배">#REF!</definedName>
    <definedName name="마운드전면지반폭" localSheetId="0">#REF!</definedName>
    <definedName name="마운드전면지반폭">#REF!</definedName>
    <definedName name="마운드전면폭" localSheetId="0">#REF!</definedName>
    <definedName name="마운드전면폭">#REF!</definedName>
    <definedName name="무콘수상">2.3</definedName>
    <definedName name="방파제경사">#REF!</definedName>
    <definedName name="방파제폭" localSheetId="0">'[8]4.3.1 마루높이결정'!#REF!</definedName>
    <definedName name="방파제폭">'[8]4.3.1 마루높이결정'!#REF!</definedName>
    <definedName name="변환고">#REF!</definedName>
    <definedName name="사석수상">1.8</definedName>
    <definedName name="상부길이">#REF!</definedName>
    <definedName name="상부폭">#REF!</definedName>
    <definedName name="상재하중상시" localSheetId="0">#REF!</definedName>
    <definedName name="상재하중상시">#REF!</definedName>
    <definedName name="상재하중지진시" localSheetId="0">#REF!</definedName>
    <definedName name="상재하중지진시">#REF!</definedName>
    <definedName name="상치하단">#REF!</definedName>
    <definedName name="설계고조위">#REF!</definedName>
    <definedName name="설계수심" localSheetId="0">#REF!</definedName>
    <definedName name="설계수심">#REF!</definedName>
    <definedName name="설치수심">'[9]3.1.1 마루높이결정'!$S$26</definedName>
    <definedName name="수강10아" localSheetId="0">#REF!</definedName>
    <definedName name="수강10아">#REF!</definedName>
    <definedName name="수강10위" localSheetId="0">#REF!</definedName>
    <definedName name="수강10위">#REF!</definedName>
    <definedName name="수강4아" localSheetId="0">#REF!</definedName>
    <definedName name="수강4아">#REF!</definedName>
    <definedName name="수강4위" localSheetId="0">#REF!</definedName>
    <definedName name="수강4위">#REF!</definedName>
    <definedName name="수강5아" localSheetId="0">#REF!</definedName>
    <definedName name="수강5아">#REF!</definedName>
    <definedName name="수강5위" localSheetId="0">#REF!</definedName>
    <definedName name="수강5위">#REF!</definedName>
    <definedName name="수강6아" localSheetId="0">#REF!</definedName>
    <definedName name="수강6아">#REF!</definedName>
    <definedName name="수강6위" localSheetId="0">#REF!</definedName>
    <definedName name="수강6위">#REF!</definedName>
    <definedName name="수강7아" localSheetId="0">#REF!</definedName>
    <definedName name="수강7아">#REF!</definedName>
    <definedName name="수강7위" localSheetId="0">#REF!</definedName>
    <definedName name="수강7위">#REF!</definedName>
    <definedName name="수강8아" localSheetId="0">#REF!</definedName>
    <definedName name="수강8아">#REF!</definedName>
    <definedName name="수강8위" localSheetId="0">#REF!</definedName>
    <definedName name="수강8위">#REF!</definedName>
    <definedName name="수강9아" localSheetId="0">#REF!</definedName>
    <definedName name="수강9아">#REF!</definedName>
    <definedName name="수강9위" localSheetId="0">#REF!</definedName>
    <definedName name="수강9위">#REF!</definedName>
    <definedName name="수동10" localSheetId="0">#REF!</definedName>
    <definedName name="수동10">#REF!</definedName>
    <definedName name="수동6" localSheetId="0">#REF!</definedName>
    <definedName name="수동6">#REF!</definedName>
    <definedName name="수동7" localSheetId="0">#REF!</definedName>
    <definedName name="수동7">#REF!</definedName>
    <definedName name="수동8" localSheetId="0">#REF!</definedName>
    <definedName name="수동8">#REF!</definedName>
    <definedName name="수동9" localSheetId="0">#REF!</definedName>
    <definedName name="수동9">#REF!</definedName>
    <definedName name="수중진도" localSheetId="0">#REF!</definedName>
    <definedName name="수중진도">#REF!</definedName>
    <definedName name="수중진도점토" localSheetId="0">#REF!</definedName>
    <definedName name="수중진도점토">#REF!</definedName>
    <definedName name="슬리트종격실수" localSheetId="0">#REF!</definedName>
    <definedName name="슬리트종격실수">#REF!</definedName>
    <definedName name="심해파장">'[9]3.1.1 마루높이결정'!$S$19</definedName>
    <definedName name="우길이" localSheetId="0">#REF!</definedName>
    <definedName name="우길이">#REF!</definedName>
    <definedName name="유수실덮개H" localSheetId="0">#REF!</definedName>
    <definedName name="유수실덮개H">#REF!</definedName>
    <definedName name="유의파고">#REF!</definedName>
    <definedName name="유출방지공" localSheetId="0">#REF!</definedName>
    <definedName name="유출방지공">#REF!</definedName>
    <definedName name="잔류수압" localSheetId="0">#REF!</definedName>
    <definedName name="잔류수압">#REF!</definedName>
    <definedName name="잔류수압강도" localSheetId="0">#REF!</definedName>
    <definedName name="잔류수압강도">#REF!</definedName>
    <definedName name="잔류수위" localSheetId="0">#REF!</definedName>
    <definedName name="잔류수위">#REF!</definedName>
    <definedName name="저판두께" localSheetId="0">#REF!</definedName>
    <definedName name="저판두께">#REF!</definedName>
    <definedName name="전1" localSheetId="0">#REF!</definedName>
    <definedName name="전1">#REF!</definedName>
    <definedName name="전2" localSheetId="0">#REF!</definedName>
    <definedName name="전2">#REF!</definedName>
    <definedName name="전3" localSheetId="0">#REF!</definedName>
    <definedName name="전3">#REF!</definedName>
    <definedName name="전면후팅" localSheetId="0">#REF!</definedName>
    <definedName name="전면후팅">#REF!</definedName>
    <definedName name="점착력1" localSheetId="0">#REF!</definedName>
    <definedName name="점착력1">#REF!</definedName>
    <definedName name="점착력10" localSheetId="0">#REF!</definedName>
    <definedName name="점착력10">#REF!</definedName>
    <definedName name="점착력2" localSheetId="0">#REF!</definedName>
    <definedName name="점착력2">#REF!</definedName>
    <definedName name="점착력3" localSheetId="0">#REF!</definedName>
    <definedName name="점착력3">#REF!</definedName>
    <definedName name="점착력4" localSheetId="0">#REF!</definedName>
    <definedName name="점착력4">#REF!</definedName>
    <definedName name="점착력5" localSheetId="0">#REF!</definedName>
    <definedName name="점착력5">#REF!</definedName>
    <definedName name="점착력6" localSheetId="0">#REF!</definedName>
    <definedName name="점착력6">#REF!</definedName>
    <definedName name="점착력7" localSheetId="0">#REF!</definedName>
    <definedName name="점착력7">#REF!</definedName>
    <definedName name="점착력8" localSheetId="0">#REF!</definedName>
    <definedName name="점착력8">#REF!</definedName>
    <definedName name="점착력9" localSheetId="0">#REF!</definedName>
    <definedName name="점착력9">#REF!</definedName>
    <definedName name="점토">#REF!</definedName>
    <definedName name="점토층">#REF!</definedName>
    <definedName name="종격실수" localSheetId="0">#REF!</definedName>
    <definedName name="종격실수">#REF!</definedName>
    <definedName name="좌길이" localSheetId="0">#REF!</definedName>
    <definedName name="좌길이">#REF!</definedName>
    <definedName name="주강10아" localSheetId="0">#REF!</definedName>
    <definedName name="주강10아">#REF!</definedName>
    <definedName name="주강10위" localSheetId="0">#REF!</definedName>
    <definedName name="주강10위">#REF!</definedName>
    <definedName name="주강1아" localSheetId="0">#REF!</definedName>
    <definedName name="주강1아">#REF!</definedName>
    <definedName name="주강1위" localSheetId="0">#REF!</definedName>
    <definedName name="주강1위">#REF!</definedName>
    <definedName name="주강2아" localSheetId="0">#REF!</definedName>
    <definedName name="주강2아">#REF!</definedName>
    <definedName name="주강2위" localSheetId="0">#REF!</definedName>
    <definedName name="주강2위">#REF!</definedName>
    <definedName name="주강3아" localSheetId="0">#REF!</definedName>
    <definedName name="주강3아">#REF!</definedName>
    <definedName name="주강3위" localSheetId="0">#REF!</definedName>
    <definedName name="주강3위">#REF!</definedName>
    <definedName name="주강4아" localSheetId="0">#REF!</definedName>
    <definedName name="주강4아">#REF!</definedName>
    <definedName name="주강4위" localSheetId="0">#REF!</definedName>
    <definedName name="주강4위">#REF!</definedName>
    <definedName name="주강5아" localSheetId="0">#REF!</definedName>
    <definedName name="주강5아">#REF!</definedName>
    <definedName name="주강5위" localSheetId="0">#REF!</definedName>
    <definedName name="주강5위">#REF!</definedName>
    <definedName name="주강6아" localSheetId="0">#REF!</definedName>
    <definedName name="주강6아">#REF!</definedName>
    <definedName name="주강6위" localSheetId="0">#REF!</definedName>
    <definedName name="주강6위">#REF!</definedName>
    <definedName name="주강7아" localSheetId="0">#REF!</definedName>
    <definedName name="주강7아">#REF!</definedName>
    <definedName name="주강7위" localSheetId="0">#REF!</definedName>
    <definedName name="주강7위">#REF!</definedName>
    <definedName name="주강8아" localSheetId="0">#REF!</definedName>
    <definedName name="주강8아">#REF!</definedName>
    <definedName name="주강8위" localSheetId="0">#REF!</definedName>
    <definedName name="주강8위">#REF!</definedName>
    <definedName name="주강9아" localSheetId="0">#REF!</definedName>
    <definedName name="주강9아">#REF!</definedName>
    <definedName name="주강9위" localSheetId="0">#REF!</definedName>
    <definedName name="주강9위">#REF!</definedName>
    <definedName name="주기">#REF!</definedName>
    <definedName name="지수강10아" localSheetId="0">#REF!</definedName>
    <definedName name="지수강10아">#REF!</definedName>
    <definedName name="지수강10위" localSheetId="0">#REF!</definedName>
    <definedName name="지수강10위">#REF!</definedName>
    <definedName name="지수강8아" localSheetId="0">#REF!</definedName>
    <definedName name="지수강8아">#REF!</definedName>
    <definedName name="지수강8위" localSheetId="0">#REF!</definedName>
    <definedName name="지수강8위">#REF!</definedName>
    <definedName name="지수강9아" localSheetId="0">#REF!</definedName>
    <definedName name="지수강9아">#REF!</definedName>
    <definedName name="지수강9위" localSheetId="0">#REF!</definedName>
    <definedName name="지수강9위">#REF!</definedName>
    <definedName name="지수동1" localSheetId="0">#REF!</definedName>
    <definedName name="지수동1">#REF!</definedName>
    <definedName name="지수동10" localSheetId="0">#REF!</definedName>
    <definedName name="지수동10">#REF!</definedName>
    <definedName name="지수동2" localSheetId="0">#REF!</definedName>
    <definedName name="지수동2">#REF!</definedName>
    <definedName name="지수동3" localSheetId="0">#REF!</definedName>
    <definedName name="지수동3">#REF!</definedName>
    <definedName name="지수동4" localSheetId="0">#REF!</definedName>
    <definedName name="지수동4">#REF!</definedName>
    <definedName name="지수동5" localSheetId="0">#REF!</definedName>
    <definedName name="지수동5">#REF!</definedName>
    <definedName name="지수동6" localSheetId="0">#REF!</definedName>
    <definedName name="지수동6">#REF!</definedName>
    <definedName name="지수동7" localSheetId="0">#REF!</definedName>
    <definedName name="지수동7">#REF!</definedName>
    <definedName name="지수동8" localSheetId="0">#REF!</definedName>
    <definedName name="지수동8">#REF!</definedName>
    <definedName name="지수동9" localSheetId="0">#REF!</definedName>
    <definedName name="지수동9">#REF!</definedName>
    <definedName name="지점착력10" localSheetId="0">#REF!</definedName>
    <definedName name="지점착력10">#REF!</definedName>
    <definedName name="지점착력4" localSheetId="0">#REF!</definedName>
    <definedName name="지점착력4">#REF!</definedName>
    <definedName name="지점착력5" localSheetId="0">#REF!</definedName>
    <definedName name="지점착력5">#REF!</definedName>
    <definedName name="지점착력6" localSheetId="0">#REF!</definedName>
    <definedName name="지점착력6">#REF!</definedName>
    <definedName name="지점착력7" localSheetId="0">#REF!</definedName>
    <definedName name="지점착력7">#REF!</definedName>
    <definedName name="지점착력8" localSheetId="0">#REF!</definedName>
    <definedName name="지점착력8">#REF!</definedName>
    <definedName name="지점착력9" localSheetId="0">#REF!</definedName>
    <definedName name="지점착력9">#REF!</definedName>
    <definedName name="지주강10아" localSheetId="0">#REF!</definedName>
    <definedName name="지주강10아">#REF!</definedName>
    <definedName name="지주강10위" localSheetId="0">#REF!</definedName>
    <definedName name="지주강10위">#REF!</definedName>
    <definedName name="지주강1아" localSheetId="0">#REF!</definedName>
    <definedName name="지주강1아">#REF!</definedName>
    <definedName name="지주강1위" localSheetId="0">#REF!</definedName>
    <definedName name="지주강1위">#REF!</definedName>
    <definedName name="지주강2아" localSheetId="0">#REF!</definedName>
    <definedName name="지주강2아">#REF!</definedName>
    <definedName name="지주강2위" localSheetId="0">#REF!</definedName>
    <definedName name="지주강2위">#REF!</definedName>
    <definedName name="지주강3아" localSheetId="0">#REF!</definedName>
    <definedName name="지주강3아">#REF!</definedName>
    <definedName name="지주강3위" localSheetId="0">#REF!</definedName>
    <definedName name="지주강3위">#REF!</definedName>
    <definedName name="지주강4아" localSheetId="0">#REF!</definedName>
    <definedName name="지주강4아">#REF!</definedName>
    <definedName name="지주강4위" localSheetId="0">#REF!</definedName>
    <definedName name="지주강4위">#REF!</definedName>
    <definedName name="지주강5아" localSheetId="0">#REF!</definedName>
    <definedName name="지주강5아">#REF!</definedName>
    <definedName name="지주강5위" localSheetId="0">#REF!</definedName>
    <definedName name="지주강5위">#REF!</definedName>
    <definedName name="지주강6아" localSheetId="0">#REF!</definedName>
    <definedName name="지주강6아">#REF!</definedName>
    <definedName name="지주강6위" localSheetId="0">#REF!</definedName>
    <definedName name="지주강6위">#REF!</definedName>
    <definedName name="지주강7아" localSheetId="0">#REF!</definedName>
    <definedName name="지주강7아">#REF!</definedName>
    <definedName name="지주강7위" localSheetId="0">#REF!</definedName>
    <definedName name="지주강7위">#REF!</definedName>
    <definedName name="지주강8아" localSheetId="0">#REF!</definedName>
    <definedName name="지주강8아">#REF!</definedName>
    <definedName name="지주강8위" localSheetId="0">#REF!</definedName>
    <definedName name="지주강8위">#REF!</definedName>
    <definedName name="지주강9아" localSheetId="0">#REF!</definedName>
    <definedName name="지주강9아">#REF!</definedName>
    <definedName name="지주강9위" localSheetId="0">#REF!</definedName>
    <definedName name="지주강9위">#REF!</definedName>
    <definedName name="지주동1" localSheetId="0">#REF!</definedName>
    <definedName name="지주동1">#REF!</definedName>
    <definedName name="지주동10" localSheetId="0">#REF!</definedName>
    <definedName name="지주동10">#REF!</definedName>
    <definedName name="지주동2" localSheetId="0">#REF!</definedName>
    <definedName name="지주동2">#REF!</definedName>
    <definedName name="지주동3" localSheetId="0">#REF!</definedName>
    <definedName name="지주동3">#REF!</definedName>
    <definedName name="지주동4" localSheetId="0">#REF!</definedName>
    <definedName name="지주동4">#REF!</definedName>
    <definedName name="지주동5" localSheetId="0">#REF!</definedName>
    <definedName name="지주동5">#REF!</definedName>
    <definedName name="지주동6" localSheetId="0">#REF!</definedName>
    <definedName name="지주동6">#REF!</definedName>
    <definedName name="지주동7" localSheetId="0">#REF!</definedName>
    <definedName name="지주동7">#REF!</definedName>
    <definedName name="지주동8" localSheetId="0">#REF!</definedName>
    <definedName name="지주동8">#REF!</definedName>
    <definedName name="지주동9" localSheetId="0">#REF!</definedName>
    <definedName name="지주동9">#REF!</definedName>
    <definedName name="천단고" localSheetId="0">#REF!</definedName>
    <definedName name="천단고">#REF!</definedName>
    <definedName name="치환깊이">#REF!</definedName>
    <definedName name="케이블높이" localSheetId="0">#REF!</definedName>
    <definedName name="케이블높이">#REF!</definedName>
    <definedName name="케이슨Mx" localSheetId="0">#REF!</definedName>
    <definedName name="케이슨Mx">#REF!</definedName>
    <definedName name="케이슨My" localSheetId="0">#REF!</definedName>
    <definedName name="케이슨My">#REF!</definedName>
    <definedName name="케이슨W" localSheetId="0">#REF!</definedName>
    <definedName name="케이슨W">#REF!</definedName>
    <definedName name="케이슨종류" localSheetId="0">#REF!</definedName>
    <definedName name="케이슨종류">#REF!</definedName>
    <definedName name="파압">#REF!</definedName>
    <definedName name="파일" localSheetId="0" hidden="1">#REF!</definedName>
    <definedName name="파일" hidden="1">#REF!</definedName>
    <definedName name="파일천단고" localSheetId="0">#REF!</definedName>
    <definedName name="파일천단고">#REF!</definedName>
    <definedName name="파향">'[10]4.2.1 마루높이 검토'!$S$23</definedName>
    <definedName name="평균수심">#REF!</definedName>
    <definedName name="폭1">#REF!</definedName>
    <definedName name="폭2">#REF!</definedName>
    <definedName name="피복석두께" localSheetId="0">#REF!</definedName>
    <definedName name="피복석두께">#REF!</definedName>
    <definedName name="하늘">#REF!</definedName>
    <definedName name="하부길이">#REF!</definedName>
    <definedName name="하부폭">#REF!</definedName>
    <definedName name="해수단위중량">1.03</definedName>
    <definedName name="해저경사">'[7]4.2.1 마루높이 검토'!$N$30</definedName>
    <definedName name="환산심해파고">'[9]3.1.1 마루높이결정'!$R$71</definedName>
    <definedName name="횡격실수" localSheetId="0">#REF!</definedName>
    <definedName name="횡격실수">#REF!</definedName>
    <definedName name="후1" localSheetId="0">#REF!</definedName>
    <definedName name="후1">#REF!</definedName>
    <definedName name="후2" localSheetId="0">#REF!</definedName>
    <definedName name="후2">#REF!</definedName>
    <definedName name="후3" localSheetId="0">#REF!</definedName>
    <definedName name="후3">#REF!</definedName>
    <definedName name="후면후팅" localSheetId="0">#REF!</definedName>
    <definedName name="후면후팅">#REF!</definedName>
    <definedName name="ㅗ147" localSheetId="0">#REF!</definedName>
    <definedName name="ㅗ14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7" i="2" l="1"/>
  <c r="M19" i="2"/>
  <c r="X19" i="2"/>
  <c r="M20" i="2"/>
  <c r="X20" i="2"/>
  <c r="AP23" i="2"/>
  <c r="M21" i="2" s="1"/>
  <c r="AT23" i="2"/>
  <c r="X21" i="2" s="1"/>
  <c r="AP26" i="2"/>
  <c r="AT26" i="2"/>
  <c r="AT29" i="2" s="1"/>
  <c r="AT30" i="2" s="1"/>
  <c r="AT31" i="2" s="1"/>
  <c r="AP27" i="2"/>
  <c r="AT27" i="2"/>
  <c r="M28" i="2"/>
  <c r="X28" i="2"/>
  <c r="AP28" i="2"/>
  <c r="AP29" i="2" s="1"/>
  <c r="AP30" i="2" s="1"/>
  <c r="AP31" i="2" s="1"/>
  <c r="AT28" i="2"/>
  <c r="M29" i="2"/>
  <c r="X29" i="2"/>
  <c r="H48" i="2"/>
  <c r="M50" i="2"/>
  <c r="M58" i="2" s="1"/>
  <c r="X50" i="2"/>
  <c r="X58" i="2" s="1"/>
  <c r="M60" i="2"/>
  <c r="X60" i="2"/>
  <c r="C65" i="2"/>
  <c r="AA78" i="2"/>
  <c r="AA93" i="2"/>
  <c r="M53" i="2" l="1"/>
  <c r="M25" i="2"/>
  <c r="M22" i="2"/>
  <c r="X53" i="2"/>
  <c r="X25" i="2"/>
  <c r="X22" i="2"/>
  <c r="X24" i="2" l="1"/>
  <c r="X52" i="2" s="1"/>
  <c r="X23" i="2"/>
  <c r="X51" i="2" s="1"/>
  <c r="X30" i="2"/>
  <c r="X31" i="2" s="1"/>
  <c r="X55" i="2"/>
  <c r="X61" i="2"/>
  <c r="X54" i="2"/>
  <c r="X59" i="2"/>
  <c r="AT32" i="2" s="1"/>
  <c r="AT33" i="2" s="1"/>
  <c r="M24" i="2"/>
  <c r="M52" i="2" s="1"/>
  <c r="M23" i="2"/>
  <c r="M51" i="2" s="1"/>
  <c r="M59" i="2" s="1"/>
  <c r="AP32" i="2" s="1"/>
  <c r="AP33" i="2" s="1"/>
  <c r="M30" i="2"/>
  <c r="M31" i="2" s="1"/>
  <c r="M55" i="2"/>
  <c r="M61" i="2"/>
  <c r="M54" i="2"/>
  <c r="M32" i="2" l="1"/>
  <c r="AQ61" i="2"/>
  <c r="X62" i="2"/>
  <c r="AR61" i="2" s="1"/>
  <c r="AO61" i="2"/>
  <c r="M62" i="2"/>
  <c r="AP61" i="2" s="1"/>
  <c r="X32" i="2"/>
</calcChain>
</file>

<file path=xl/sharedStrings.xml><?xml version="1.0" encoding="utf-8"?>
<sst xmlns="http://schemas.openxmlformats.org/spreadsheetml/2006/main" count="103" uniqueCount="72">
  <si>
    <t>판정</t>
    <phoneticPr fontId="7" type="noConversion"/>
  </si>
  <si>
    <t>검토안전율</t>
    <phoneticPr fontId="7" type="noConversion"/>
  </si>
  <si>
    <t>기준안전율</t>
    <phoneticPr fontId="7" type="noConversion"/>
  </si>
  <si>
    <t>지진시</t>
    <phoneticPr fontId="3" type="noConversion"/>
  </si>
  <si>
    <t>지진시</t>
    <phoneticPr fontId="9" type="noConversion"/>
  </si>
  <si>
    <t>3) 편심경사하중에 의한 지지력 검토결과</t>
    <phoneticPr fontId="7" type="noConversion"/>
  </si>
  <si>
    <t>2b'(m)</t>
    <phoneticPr fontId="7" type="noConversion"/>
  </si>
  <si>
    <t>b'(m)</t>
    <phoneticPr fontId="7" type="noConversion"/>
  </si>
  <si>
    <t>2b'</t>
    <phoneticPr fontId="3" type="noConversion"/>
  </si>
  <si>
    <t>b'</t>
    <phoneticPr fontId="3" type="noConversion"/>
  </si>
  <si>
    <t>H(kN/m)</t>
    <phoneticPr fontId="7" type="noConversion"/>
  </si>
  <si>
    <t>상시</t>
    <phoneticPr fontId="3" type="noConversion"/>
  </si>
  <si>
    <t>기준점</t>
    <phoneticPr fontId="3" type="noConversion"/>
  </si>
  <si>
    <t>q(kN/㎡)</t>
    <phoneticPr fontId="7" type="noConversion"/>
  </si>
  <si>
    <t>구  분</t>
    <phoneticPr fontId="7" type="noConversion"/>
  </si>
  <si>
    <t xml:space="preserve">환산등분포하중 </t>
    <phoneticPr fontId="7" type="noConversion"/>
  </si>
  <si>
    <t>•</t>
  </si>
  <si>
    <t>하중분포폭(b)</t>
    <phoneticPr fontId="7" type="noConversion"/>
  </si>
  <si>
    <t>기초저면에 대한 편심(e, m)</t>
    <phoneticPr fontId="7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</si>
  <si>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color theme="1"/>
        <rFont val="맑은 고딕"/>
        <family val="3"/>
        <charset val="129"/>
        <scheme val="major"/>
      </rPr>
      <t>(kN/㎡)</t>
    </r>
    <phoneticPr fontId="7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</si>
  <si>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1</t>
    </r>
    <r>
      <rPr>
        <sz val="11"/>
        <color theme="1"/>
        <rFont val="맑은 고딕"/>
        <family val="3"/>
        <charset val="129"/>
        <scheme val="major"/>
      </rPr>
      <t>(kN/㎡)</t>
    </r>
    <phoneticPr fontId="7" type="noConversion"/>
  </si>
  <si>
    <t>하중분포</t>
    <phoneticPr fontId="7" type="noConversion"/>
  </si>
  <si>
    <t>하중조건</t>
    <phoneticPr fontId="7" type="noConversion"/>
  </si>
  <si>
    <t>m</t>
    <phoneticPr fontId="7" type="noConversion"/>
  </si>
  <si>
    <t>기초폭 (B) =</t>
    <phoneticPr fontId="7" type="noConversion"/>
  </si>
  <si>
    <t>2) 환산등분포 하중</t>
    <phoneticPr fontId="7" type="noConversion"/>
  </si>
  <si>
    <t>지반반력 삼각형 분포</t>
    <phoneticPr fontId="7" type="noConversion"/>
  </si>
  <si>
    <t>지반반력 사다리꼴 분포</t>
    <phoneticPr fontId="7" type="noConversion"/>
  </si>
  <si>
    <t>1) 검토개요</t>
    <phoneticPr fontId="3" type="noConversion"/>
  </si>
  <si>
    <t xml:space="preserve">  1.2. 편심경사하중법(Bishop법)에 의한 지지력 검토</t>
    <phoneticPr fontId="3" type="noConversion"/>
  </si>
  <si>
    <t>검 증</t>
    <phoneticPr fontId="3" type="noConversion"/>
  </si>
  <si>
    <t>확인</t>
    <phoneticPr fontId="3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</si>
  <si>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color theme="1"/>
        <rFont val="맑은 고딕"/>
        <family val="3"/>
        <charset val="129"/>
        <scheme val="major"/>
      </rPr>
      <t>'(kN/㎡)</t>
    </r>
    <phoneticPr fontId="7" type="noConversion"/>
  </si>
  <si>
    <t>q</t>
    <phoneticPr fontId="3" type="noConversion"/>
  </si>
  <si>
    <r>
      <t>p</t>
    </r>
    <r>
      <rPr>
        <vertAlign val="subscript"/>
        <sz val="11"/>
        <rFont val="맑은 고딕"/>
        <family val="3"/>
        <charset val="129"/>
        <scheme val="major"/>
      </rPr>
      <t>1</t>
    </r>
    <r>
      <rPr>
        <sz val="11"/>
        <color theme="1"/>
        <rFont val="맑은 고딕"/>
        <family val="3"/>
        <charset val="129"/>
        <scheme val="major"/>
      </rPr>
      <t>'(kN/㎡)</t>
    </r>
    <phoneticPr fontId="7" type="noConversion"/>
  </si>
  <si>
    <t>지반반력</t>
    <phoneticPr fontId="7" type="noConversion"/>
  </si>
  <si>
    <t>합력의 분포폭( L, m)</t>
    <phoneticPr fontId="7" type="noConversion"/>
  </si>
  <si>
    <t>편심경사각 ( α, ˚)</t>
    <phoneticPr fontId="7" type="noConversion"/>
  </si>
  <si>
    <t>연직력(ΣV)</t>
    <phoneticPr fontId="3" type="noConversion"/>
  </si>
  <si>
    <t>전도모멘트(ΣMh)</t>
    <phoneticPr fontId="3" type="noConversion"/>
  </si>
  <si>
    <t>3) 상부구조물에 대한 지반반력 산정</t>
    <phoneticPr fontId="7" type="noConversion"/>
  </si>
  <si>
    <t>저항모멘트(ΣMv)</t>
    <phoneticPr fontId="3" type="noConversion"/>
  </si>
  <si>
    <t>구 분</t>
    <phoneticPr fontId="3" type="noConversion"/>
  </si>
  <si>
    <t>X</t>
    <phoneticPr fontId="3" type="noConversion"/>
  </si>
  <si>
    <t xml:space="preserve">    </t>
    <phoneticPr fontId="3" type="noConversion"/>
  </si>
  <si>
    <r>
      <t>수평력(</t>
    </r>
    <r>
      <rPr>
        <sz val="11"/>
        <rFont val="Calibri"/>
        <family val="3"/>
        <charset val="161"/>
      </rPr>
      <t>Σ</t>
    </r>
    <r>
      <rPr>
        <sz val="11"/>
        <rFont val="맑은 고딕"/>
        <family val="3"/>
        <charset val="129"/>
        <scheme val="major"/>
      </rPr>
      <t>H)</t>
    </r>
    <phoneticPr fontId="3" type="noConversion"/>
  </si>
  <si>
    <t>수평력(ΣH, kN/m)</t>
    <phoneticPr fontId="7" type="noConversion"/>
  </si>
  <si>
    <t>수직력(ΣV, kN/m)</t>
    <phoneticPr fontId="7" type="noConversion"/>
  </si>
  <si>
    <t>구  분</t>
    <phoneticPr fontId="3" type="noConversion"/>
  </si>
  <si>
    <t>지진시</t>
    <phoneticPr fontId="7" type="noConversion"/>
  </si>
  <si>
    <t>상시</t>
    <phoneticPr fontId="7" type="noConversion"/>
  </si>
  <si>
    <t>kN/㎥</t>
    <phoneticPr fontId="7" type="noConversion"/>
  </si>
  <si>
    <t>=</t>
    <phoneticPr fontId="7" type="noConversion"/>
  </si>
  <si>
    <r>
      <t>• 사석 수중단위중량(γ'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3" type="noConversion"/>
  </si>
  <si>
    <r>
      <t>• 물의 단위중량(γ</t>
    </r>
    <r>
      <rPr>
        <vertAlign val="subscript"/>
        <sz val="11"/>
        <rFont val="맑은 고딕"/>
        <family val="3"/>
        <charset val="129"/>
        <scheme val="major"/>
      </rPr>
      <t>W</t>
    </r>
    <r>
      <rPr>
        <sz val="11"/>
        <rFont val="맑은 고딕"/>
        <family val="3"/>
        <charset val="129"/>
        <scheme val="major"/>
      </rPr>
      <t>)</t>
    </r>
    <phoneticPr fontId="3" type="noConversion"/>
  </si>
  <si>
    <t>• 기초사석 마운드 두께(D)</t>
    <phoneticPr fontId="3" type="noConversion"/>
  </si>
  <si>
    <t>• 기초폭 (B)</t>
    <phoneticPr fontId="3" type="noConversion"/>
  </si>
  <si>
    <t>2) 기초 및 하중조건</t>
    <phoneticPr fontId="7" type="noConversion"/>
  </si>
  <si>
    <t>: 기초사석 상단 지반반력 분포폭</t>
    <phoneticPr fontId="7" type="noConversion"/>
  </si>
  <si>
    <t xml:space="preserve"> b</t>
    <phoneticPr fontId="7" type="noConversion"/>
  </si>
  <si>
    <t>: 기초사석 마운드 두께</t>
    <phoneticPr fontId="7" type="noConversion"/>
  </si>
  <si>
    <t xml:space="preserve"> D</t>
    <phoneticPr fontId="7" type="noConversion"/>
  </si>
  <si>
    <t>: 상부구조물에 의한 지반반력</t>
    <phoneticPr fontId="7" type="noConversion"/>
  </si>
  <si>
    <r>
      <t xml:space="preserve"> p</t>
    </r>
    <r>
      <rPr>
        <vertAlign val="subscript"/>
        <sz val="10"/>
        <rFont val="맑은 고딕"/>
        <family val="3"/>
        <charset val="129"/>
        <scheme val="major"/>
      </rPr>
      <t>i</t>
    </r>
    <r>
      <rPr>
        <sz val="10"/>
        <color theme="1"/>
        <rFont val="맑은 고딕"/>
        <family val="3"/>
        <charset val="129"/>
        <scheme val="major"/>
      </rPr>
      <t>'</t>
    </r>
    <phoneticPr fontId="7" type="noConversion"/>
  </si>
  <si>
    <t>: 합력의 분포폭</t>
    <phoneticPr fontId="7" type="noConversion"/>
  </si>
  <si>
    <t xml:space="preserve"> L</t>
    <phoneticPr fontId="7" type="noConversion"/>
  </si>
  <si>
    <t>: 편심경사각</t>
    <phoneticPr fontId="7" type="noConversion"/>
  </si>
  <si>
    <t>α</t>
    <phoneticPr fontId="7" type="noConversion"/>
  </si>
  <si>
    <t xml:space="preserve">여기서, </t>
    <phoneticPr fontId="7" type="noConversion"/>
  </si>
  <si>
    <t xml:space="preserve">  1.1. 지반 반력 산정</t>
    <phoneticPr fontId="3" type="noConversion"/>
  </si>
  <si>
    <t>1. A-A' 기초지반 안정 검토</t>
    <phoneticPr fontId="3" type="noConversion"/>
  </si>
  <si>
    <t>나. 1-1단계 기초지반 안정검토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</si>
</sst>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0.0_ "/>
    <numFmt numFmtId="178" formatCode="0.00_ "/>
    <numFmt numFmtId="179" formatCode="#,##0.00_ "/>
    <numFmt numFmtId="180" formatCode="#,##0.00_);[Red]\(#,##0.00\)"/>
    <numFmt numFmtId="181" formatCode="#,##0.0_);[Red]\(#,##0.0\)"/>
    <numFmt numFmtId="182" formatCode="&quot;• 사석 포화단위중량 = &quot;0.0_ &quot;kN/㎥&quot;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ajor"/>
    </font>
    <font>
      <b/>
      <sz val="11"/>
      <color rgb="FF7030A0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name val="Calibri"/>
      <family val="3"/>
      <charset val="161"/>
    </font>
    <font>
      <sz val="10"/>
      <name val="맑은 고딕"/>
      <family val="3"/>
      <charset val="129"/>
      <scheme val="major"/>
    </font>
    <font>
      <vertAlign val="subscript"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00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4" fillId="0" borderId="0" xfId="1" quotePrefix="1" applyFont="1">
      <alignment vertical="center"/>
    </xf>
    <xf numFmtId="177" fontId="10" fillId="0" borderId="0" xfId="1" applyNumberFormat="1" applyFont="1">
      <alignment vertical="center"/>
    </xf>
    <xf numFmtId="178" fontId="10" fillId="0" borderId="0" xfId="1" applyNumberFormat="1" applyFont="1">
      <alignment vertical="center"/>
    </xf>
    <xf numFmtId="178" fontId="4" fillId="0" borderId="0" xfId="1" applyNumberFormat="1" applyFont="1" applyAlignment="1">
      <alignment horizontal="center" vertical="center"/>
    </xf>
    <xf numFmtId="179" fontId="4" fillId="0" borderId="3" xfId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78" fontId="4" fillId="0" borderId="3" xfId="1" applyNumberFormat="1" applyFont="1" applyBorder="1" applyAlignment="1">
      <alignment horizontal="center" vertical="center"/>
    </xf>
    <xf numFmtId="178" fontId="4" fillId="0" borderId="3" xfId="1" applyNumberFormat="1" applyFont="1" applyBorder="1">
      <alignment vertical="center"/>
    </xf>
    <xf numFmtId="178" fontId="5" fillId="0" borderId="12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7" fontId="4" fillId="0" borderId="3" xfId="1" applyNumberFormat="1" applyFont="1" applyBorder="1" applyAlignment="1">
      <alignment horizontal="center" vertical="center"/>
    </xf>
    <xf numFmtId="177" fontId="4" fillId="0" borderId="3" xfId="1" applyNumberFormat="1" applyFont="1" applyBorder="1" applyAlignment="1">
      <alignment horizontal="center" vertical="center"/>
    </xf>
    <xf numFmtId="0" fontId="11" fillId="4" borderId="0" xfId="1" applyFont="1" applyFill="1">
      <alignment vertical="center"/>
    </xf>
    <xf numFmtId="0" fontId="10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1" fillId="0" borderId="0" xfId="2">
      <alignment vertical="center"/>
    </xf>
    <xf numFmtId="178" fontId="4" fillId="0" borderId="3" xfId="1" applyNumberFormat="1" applyFont="1" applyBorder="1" applyAlignment="1">
      <alignment horizontal="center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0" fontId="8" fillId="0" borderId="0" xfId="2" applyFo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0" xfId="3" applyFont="1">
      <alignment vertical="center"/>
    </xf>
    <xf numFmtId="0" fontId="4" fillId="0" borderId="0" xfId="2" quotePrefix="1" applyFont="1">
      <alignment vertical="center"/>
    </xf>
    <xf numFmtId="0" fontId="13" fillId="0" borderId="0" xfId="1" applyFont="1" applyAlignment="1">
      <alignment horizontal="justify" vertical="center"/>
    </xf>
    <xf numFmtId="0" fontId="14" fillId="0" borderId="0" xfId="1" quotePrefix="1" applyFont="1">
      <alignment vertical="center"/>
    </xf>
    <xf numFmtId="0" fontId="15" fillId="0" borderId="3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2" fontId="4" fillId="0" borderId="3" xfId="1" applyNumberFormat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80" fontId="8" fillId="0" borderId="3" xfId="1" applyNumberFormat="1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0" xfId="1" applyFont="1">
      <alignment vertical="center"/>
    </xf>
    <xf numFmtId="179" fontId="8" fillId="0" borderId="3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80" fontId="5" fillId="0" borderId="3" xfId="1" applyNumberFormat="1" applyFont="1" applyBorder="1" applyAlignment="1">
      <alignment horizontal="center" vertical="center"/>
    </xf>
    <xf numFmtId="180" fontId="5" fillId="0" borderId="12" xfId="1" applyNumberFormat="1" applyFont="1" applyBorder="1" applyAlignment="1">
      <alignment horizontal="center" vertical="center"/>
    </xf>
    <xf numFmtId="180" fontId="5" fillId="0" borderId="2" xfId="1" applyNumberFormat="1" applyFont="1" applyBorder="1" applyAlignment="1">
      <alignment horizontal="center" vertical="center"/>
    </xf>
    <xf numFmtId="180" fontId="5" fillId="0" borderId="1" xfId="1" applyNumberFormat="1" applyFont="1" applyBorder="1" applyAlignment="1">
      <alignment horizontal="center" vertical="center"/>
    </xf>
    <xf numFmtId="180" fontId="4" fillId="0" borderId="3" xfId="1" applyNumberFormat="1" applyFont="1" applyBorder="1" applyAlignment="1">
      <alignment horizontal="center" vertical="center"/>
    </xf>
    <xf numFmtId="181" fontId="5" fillId="0" borderId="0" xfId="1" applyNumberFormat="1" applyFont="1">
      <alignment vertical="center"/>
    </xf>
    <xf numFmtId="0" fontId="6" fillId="0" borderId="3" xfId="1" quotePrefix="1" applyFont="1" applyBorder="1" applyAlignment="1">
      <alignment horizontal="center" vertical="center"/>
    </xf>
    <xf numFmtId="182" fontId="5" fillId="0" borderId="5" xfId="1" applyNumberFormat="1" applyFont="1" applyBorder="1" applyAlignment="1">
      <alignment horizontal="left" vertical="center"/>
    </xf>
    <xf numFmtId="178" fontId="4" fillId="0" borderId="0" xfId="1" applyNumberFormat="1" applyFont="1" applyAlignment="1">
      <alignment horizontal="right" vertical="center" shrinkToFit="1"/>
    </xf>
    <xf numFmtId="0" fontId="4" fillId="0" borderId="0" xfId="1" applyFont="1" applyAlignment="1">
      <alignment horizontal="left" vertical="center"/>
    </xf>
    <xf numFmtId="177" fontId="4" fillId="0" borderId="5" xfId="1" applyNumberFormat="1" applyFont="1" applyBorder="1" applyAlignment="1">
      <alignment horizontal="right" vertical="center"/>
    </xf>
    <xf numFmtId="178" fontId="5" fillId="0" borderId="0" xfId="1" applyNumberFormat="1" applyFont="1" applyAlignment="1">
      <alignment horizontal="right" vertical="center" shrinkToFit="1"/>
    </xf>
    <xf numFmtId="0" fontId="5" fillId="0" borderId="0" xfId="1" applyFont="1" applyAlignment="1">
      <alignment horizontal="right" vertical="center" shrinkToFit="1"/>
    </xf>
    <xf numFmtId="0" fontId="17" fillId="0" borderId="5" xfId="1" applyFont="1" applyBorder="1">
      <alignment vertical="center"/>
    </xf>
    <xf numFmtId="0" fontId="17" fillId="0" borderId="0" xfId="1" applyFont="1">
      <alignment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right" vertical="center"/>
    </xf>
    <xf numFmtId="0" fontId="6" fillId="0" borderId="0" xfId="3" quotePrefix="1" applyFo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2" applyFont="1">
      <alignment vertical="center"/>
    </xf>
    <xf numFmtId="0" fontId="20" fillId="0" borderId="0" xfId="2" applyFont="1">
      <alignment vertical="center"/>
    </xf>
  </cellXfs>
  <cellStyles count="4">
    <cellStyle name="표준" xfId="0" builtinId="0"/>
    <cellStyle name="표준 10 2 6" xfId="2" xr:uid="{F80D31FE-17CD-4B24-89C2-49589837AF39}"/>
    <cellStyle name="표준 14 2" xfId="3" xr:uid="{570BA4D8-CE0E-4FBD-A81F-D93B15BC5F2A}"/>
    <cellStyle name="표준 2" xfId="1" xr:uid="{AD666A3D-E52E-4FCC-9695-AAD58921B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35</xdr:row>
      <xdr:rowOff>57150</xdr:rowOff>
    </xdr:from>
    <xdr:to>
      <xdr:col>29</xdr:col>
      <xdr:colOff>114300</xdr:colOff>
      <xdr:row>41</xdr:row>
      <xdr:rowOff>276225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E064D1D2-B115-47F9-9C4F-CB885D31A06D}"/>
            </a:ext>
          </a:extLst>
        </xdr:cNvPr>
        <xdr:cNvGrpSpPr>
          <a:grpSpLocks/>
        </xdr:cNvGrpSpPr>
      </xdr:nvGrpSpPr>
      <xdr:grpSpPr bwMode="auto">
        <a:xfrm>
          <a:off x="1276350" y="8458200"/>
          <a:ext cx="5362575" cy="1933575"/>
          <a:chOff x="36" y="88"/>
          <a:chExt cx="589" cy="197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F9A1CC61-81B1-0295-60C4-F453A10A13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36" y="88"/>
            <a:ext cx="289" cy="19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" name="Picture 4">
            <a:extLst>
              <a:ext uri="{FF2B5EF4-FFF2-40B4-BE49-F238E27FC236}">
                <a16:creationId xmlns:a16="http://schemas.microsoft.com/office/drawing/2014/main" id="{05FC0DAD-908D-4891-B086-F2FA18A9B9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361" y="92"/>
            <a:ext cx="264" cy="17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oneCellAnchor>
    <xdr:from>
      <xdr:col>2</xdr:col>
      <xdr:colOff>145770</xdr:colOff>
      <xdr:row>4</xdr:row>
      <xdr:rowOff>61285</xdr:rowOff>
    </xdr:from>
    <xdr:ext cx="2944734" cy="2177090"/>
    <xdr:pic>
      <xdr:nvPicPr>
        <xdr:cNvPr id="5" name="Picture 6">
          <a:extLst>
            <a:ext uri="{FF2B5EF4-FFF2-40B4-BE49-F238E27FC236}">
              <a16:creationId xmlns:a16="http://schemas.microsoft.com/office/drawing/2014/main" id="{24BDCF7E-A627-4225-B899-2E2D502A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2020" y="899485"/>
          <a:ext cx="2944734" cy="2177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0</xdr:colOff>
          <xdr:row>6</xdr:row>
          <xdr:rowOff>161925</xdr:rowOff>
        </xdr:from>
        <xdr:ext cx="3333750" cy="280619"/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CFC2B80-F7A3-4962-B0AD-BCC53AE50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0</xdr:colOff>
          <xdr:row>4</xdr:row>
          <xdr:rowOff>28575</xdr:rowOff>
        </xdr:from>
        <xdr:ext cx="1755499" cy="514350"/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56E349FA-0F55-42EE-86D3-615BA1EAE1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19050</xdr:colOff>
          <xdr:row>7</xdr:row>
          <xdr:rowOff>200025</xdr:rowOff>
        </xdr:from>
        <xdr:ext cx="1428750" cy="454602"/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AB6D657-1B8C-417F-8538-C4C6D776A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123825</xdr:colOff>
          <xdr:row>43</xdr:row>
          <xdr:rowOff>76200</xdr:rowOff>
        </xdr:from>
        <xdr:ext cx="1895475" cy="457200"/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38B26D5F-D5DF-402C-99A4-D24DD54C9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171450</xdr:colOff>
          <xdr:row>43</xdr:row>
          <xdr:rowOff>57150</xdr:rowOff>
        </xdr:from>
        <xdr:ext cx="1323975" cy="466725"/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C202711C-E354-4D97-B357-09187234D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oneCellAnchor>
    <xdr:from>
      <xdr:col>38</xdr:col>
      <xdr:colOff>43141</xdr:colOff>
      <xdr:row>2</xdr:row>
      <xdr:rowOff>133350</xdr:rowOff>
    </xdr:from>
    <xdr:ext cx="5147984" cy="3141897"/>
    <xdr:pic>
      <xdr:nvPicPr>
        <xdr:cNvPr id="6" name="그림 5">
          <a:extLst>
            <a:ext uri="{FF2B5EF4-FFF2-40B4-BE49-F238E27FC236}">
              <a16:creationId xmlns:a16="http://schemas.microsoft.com/office/drawing/2014/main" id="{AE3B64D1-AA5C-4A68-89D6-BEE77E017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5579" t="12266" r="4482" b="8708"/>
        <a:stretch>
          <a:fillRect/>
        </a:stretch>
      </xdr:blipFill>
      <xdr:spPr>
        <a:xfrm>
          <a:off x="9091891" y="552450"/>
          <a:ext cx="5147984" cy="31418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54200;&#49900;&#183;&#44221;&#49324;&#54616;&#51473;&#50640;%20&#51032;&#54620;%20&#51648;&#48152;%20&#51648;&#51648;&#47141;%20&#44160;&#53664;.xlsx" TargetMode="External"/><Relationship Id="rId1" Type="http://schemas.openxmlformats.org/officeDocument/2006/relationships/externalLinkPath" Target="/&#54200;&#49900;&#183;&#44221;&#49324;&#54616;&#51473;&#50640;%20&#51032;&#54620;%20&#51648;&#48152;%20&#51648;&#51648;&#47141;%20&#44160;&#536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50641;&#49472;\&#48317;&#44053;&#44288;-&#48512;&#493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SS_PROJECT\&#44396;&#51312;&#44228;&#49328;&#49436;\&#48513;&#48169;&#54028;&#54840;&#50504;\1.2&#48513;&#48169;&#54028;&#54840;&#50504;(A&#44396;&#44036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337;&#49440;\&#51076;&#48337;&#49440;&#44277;&#50976;\ahn\&#49340;&#47561;&#44257;\&#44396;&#51312;&#44160;&#53664;\&#48373;&#44277;&#44228;&#49328;(&#52572;&#5133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5124;\12_&#55121;&#49328;&#46020;&#54637;%20&#44060;&#48156;&#49324;&#50629;%20&#44592;&#48376;%20&#48143;%20&#49892;&#49884;&#49444;&#44228;&#50857;&#50669;_&#9733;&#9733;&#9733;\ahn\&#49340;&#47561;&#44257;\&#44396;&#51312;&#44160;&#53664;\&#48373;&#44277;&#44228;&#49328;(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hwang\hty-net\&#48176;&#54637;&#50724;\600t-&#53356;&#47112;&#51064;\&#44032;&#46020;-&#52384;&#54032;&#49324;&#50857;&#4988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2003_&#51089;&#50629;&#54260;&#45908;\&#45824;&#54252;&#54637;&#49892;&#49884;&#49444;&#44228;\&#45225;&#54408;&#50857;11_12(&#52572;&#51333;)\3.&#44396;&#51312;&#44228;&#49328;&#49436;\04_&#48169;&#54028;&#54840;&#50504;\&#46041;&#48169;&#54028;&#51228;_&#45800;&#47732;&#50504;&#51221;&#44160;&#536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44053;&#44396;&#54637;\&#44396;&#51312;&#44228;&#49328;\&#49464;&#44404;&#48169;&#51648;&#44277;\4.3&#51060;&#46041;&#54620;&#44228;&#49688;&#499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cd1\03.%20&#44396;&#51312;%20&#48143;%20&#49688;&#47532;&#44228;&#49328;&#49436;\05_&#48169;&#54028;&#51228;\5.1&#46041;&#48169;&#54028;&#51228;&#52572;&#5133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2003_&#51089;&#50629;&#54260;&#45908;\&#45824;&#54252;&#54637;&#49892;&#49884;&#49444;&#44228;\&#45225;&#54408;&#50857;11_12(&#52572;&#51333;)\3.&#44396;&#51312;&#44228;&#49328;&#49436;\04_&#48169;&#54028;&#54840;&#50504;\&#45800;&#47732;&#50504;&#51221;&#44228;&#49328;-&#44592;&#48376;&#54252;&#47719;-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편심하중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15.0"/>
      <sheetName val="이재혁 (2)"/>
      <sheetName val="Sheet14"/>
      <sheetName val="Sheet15"/>
      <sheetName val="Sheet16"/>
      <sheetName val="이재혁 (3)"/>
      <sheetName val="교각1"/>
    </sheetNames>
    <sheetDataSet>
      <sheetData sheetId="0">
        <row r="27">
          <cell r="T27">
            <v>1.5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설계조건"/>
      <sheetName val="1.2.1 마루높이결정"/>
      <sheetName val="1.2.2피복재소요중량산정"/>
      <sheetName val="1.2.3단면안정검토"/>
      <sheetName val="1.2.4침하량"/>
      <sheetName val="사.원호활동검토"/>
    </sheetNames>
    <sheetDataSet>
      <sheetData sheetId="0" refreshError="1"/>
      <sheetData sheetId="1">
        <row r="192">
          <cell r="Q192">
            <v>6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복공계산"/>
      <sheetName val="H-PILE(구)"/>
      <sheetName val="strut(구)"/>
      <sheetName val="띠장(구)"/>
      <sheetName val="단면특성"/>
      <sheetName val="H-PILE"/>
      <sheetName val="WALL"/>
      <sheetName val="wall2"/>
      <sheetName val="strut"/>
      <sheetName val="Sheet pile(A)"/>
      <sheetName val="토류판"/>
      <sheetName val="Raker의 기초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복공계산"/>
      <sheetName val="H-PILE(구)"/>
      <sheetName val="strut(구)"/>
      <sheetName val="띠장(구)"/>
      <sheetName val="단면특성"/>
      <sheetName val="H-PILE"/>
      <sheetName val="WALL"/>
      <sheetName val="wall2"/>
      <sheetName val="strut"/>
      <sheetName val="Sheet pile(A)"/>
      <sheetName val="토류판"/>
      <sheetName val="Raker의 기초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립부(철판)"/>
      <sheetName val="Offshore-1"/>
      <sheetName val="offshore2-1"/>
      <sheetName val="Offshore-3(지반개량시)"/>
      <sheetName val="offshore3(강제치환)"/>
      <sheetName val="offshore4"/>
      <sheetName val="가도(사석)총치환량"/>
    </sheetNames>
    <sheetDataSet>
      <sheetData sheetId="0">
        <row r="70">
          <cell r="E70">
            <v>220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 refreshError="1"/>
      <sheetData sheetId="1" refreshError="1">
        <row r="19">
          <cell r="F19" t="str">
            <v>북방파제</v>
          </cell>
        </row>
        <row r="30">
          <cell r="N30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3.1 마루높이결정"/>
      <sheetName val="4.3.2피복재소요중량산정"/>
      <sheetName val="4.3.3"/>
      <sheetName val="4.3.3 나. 검토조건"/>
      <sheetName val="라.원호활동검토A구간상시"/>
      <sheetName val="원호활동검토A구간지진지"/>
      <sheetName val="4.3.4"/>
      <sheetName val="4.3.4 나. 검토조건"/>
      <sheetName val="라.원호활동검토B구간상시"/>
      <sheetName val="원호활동검토B구간지진시"/>
      <sheetName val="마. 표사 이동한계 수심"/>
      <sheetName val="바. TYPE-E1"/>
      <sheetName val="2) TYPE-E3"/>
      <sheetName val="3) TYPE-E4"/>
      <sheetName val="4) TYPE-E5"/>
      <sheetName val="5) TYPE-E6"/>
      <sheetName val="6) TYPE-E7"/>
      <sheetName val="4.3.5"/>
      <sheetName val="4.3.5 나.검토조건"/>
      <sheetName val="X........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1 마루높이결정"/>
      <sheetName val="3.1.2피복재소요중량산정"/>
      <sheetName val="5.1.3단면안정검토제간부B"/>
      <sheetName val="3.1.3단면안정검토(제간부B고다)"/>
      <sheetName val="1)침하량 (BH-3)"/>
      <sheetName val="2)침하량 (B-2)"/>
      <sheetName val="3)침하량 (BH-2)"/>
      <sheetName val="4)침하량 (B-1)"/>
      <sheetName val="5.1.5단면안정검토제두부"/>
      <sheetName val="3.1.4단면안정검토(제두부)"/>
      <sheetName val="다.침하량 (BH-1)"/>
      <sheetName val="1.1.1 TYPE-A"/>
      <sheetName val="1.1.1 TYPE-A1"/>
      <sheetName val="1.1.1 TYPE-A2"/>
      <sheetName val="1.1.1 TYPE-A3"/>
      <sheetName val="1.1.1 TYPE-B"/>
      <sheetName val="1.1.1 TYPE-B1"/>
      <sheetName val="1.1.1 TYPE-B2"/>
      <sheetName val="1.1.1 TRIPOD"/>
      <sheetName val="5.1.6사석경사제-B"/>
      <sheetName val="5.1.6 사석경사제-B(대안_1)X"/>
      <sheetName val="5.1.6블록혼성제-A"/>
      <sheetName val="5.1.6블록혼성제-A(대안_3)"/>
      <sheetName val="5.1.7블록혼성제-B"/>
      <sheetName val="5.1.7블록혼성제-B(대안_4)"/>
      <sheetName val="5.1.8케이슨식"/>
      <sheetName val="5.1.8케이슨식(대안_5)"/>
      <sheetName val="X3.1.3단면안정검토(제간부) (히로이)X"/>
      <sheetName val="1.1.1 취수박스"/>
      <sheetName val="1.1.1 집수박스"/>
      <sheetName val="1.1.1 저수박스"/>
    </sheetNames>
    <sheetDataSet>
      <sheetData sheetId="0">
        <row r="19">
          <cell r="S19">
            <v>263.64</v>
          </cell>
        </row>
        <row r="26">
          <cell r="S26">
            <v>9.49</v>
          </cell>
        </row>
        <row r="71">
          <cell r="R71">
            <v>5.71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/>
      <sheetData sheetId="1">
        <row r="23">
          <cell r="S23" t="str">
            <v>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6AB2-AF20-44B1-8EC9-45DC3D16F7A2}">
  <sheetPr>
    <tabColor rgb="FFC00000"/>
    <pageSetUpPr fitToPage="1"/>
  </sheetPr>
  <dimension ref="B1:BI93"/>
  <sheetViews>
    <sheetView showGridLines="0" tabSelected="1" view="pageBreakPreview" zoomScaleNormal="100" zoomScaleSheetLayoutView="100" workbookViewId="0">
      <selection activeCell="AM37" sqref="AM37"/>
    </sheetView>
  </sheetViews>
  <sheetFormatPr defaultColWidth="3.125" defaultRowHeight="22.5" customHeight="1"/>
  <cols>
    <col min="1" max="1" width="1.625" style="1" customWidth="1"/>
    <col min="2" max="35" width="3" style="1" customWidth="1"/>
    <col min="36" max="38" width="3.125" style="1"/>
    <col min="39" max="65" width="6.125" style="1" customWidth="1"/>
    <col min="66" max="16384" width="3.125" style="1"/>
  </cols>
  <sheetData>
    <row r="1" spans="2:61" s="1" customFormat="1" ht="22.5" customHeight="1">
      <c r="B1" s="99" t="s">
        <v>71</v>
      </c>
      <c r="D1" s="52"/>
    </row>
    <row r="2" spans="2:61" s="1" customFormat="1" ht="22.5" customHeight="1">
      <c r="B2" s="98" t="s">
        <v>70</v>
      </c>
      <c r="D2" s="52"/>
      <c r="J2" s="97"/>
      <c r="K2" s="96"/>
      <c r="L2" s="96"/>
      <c r="M2" s="96"/>
      <c r="N2" s="96"/>
      <c r="O2" s="96"/>
      <c r="P2" s="96"/>
      <c r="Q2" s="96"/>
      <c r="R2" s="95"/>
    </row>
    <row r="3" spans="2:61" s="1" customFormat="1" ht="22.5" customHeight="1">
      <c r="B3" s="94" t="s">
        <v>69</v>
      </c>
      <c r="C3" s="52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</row>
    <row r="4" spans="2:61" s="1" customFormat="1" ht="22.5" customHeight="1">
      <c r="C4" s="53" t="s">
        <v>28</v>
      </c>
      <c r="D4" s="52"/>
      <c r="J4" s="39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</row>
    <row r="5" spans="2:61" s="1" customFormat="1" ht="18" customHeight="1">
      <c r="C5" s="51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49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49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</row>
    <row r="6" spans="2:61" s="1" customFormat="1" ht="18" customHeight="1">
      <c r="C6" s="48"/>
      <c r="N6" s="34"/>
      <c r="Q6" s="47"/>
      <c r="AH6" s="47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</row>
    <row r="7" spans="2:61" s="1" customFormat="1" ht="18" customHeight="1">
      <c r="C7" s="48"/>
      <c r="Q7" s="47"/>
      <c r="AH7" s="47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</row>
    <row r="8" spans="2:61" s="1" customFormat="1" ht="18" customHeight="1">
      <c r="C8" s="48"/>
      <c r="N8" s="34"/>
      <c r="Q8" s="47"/>
      <c r="AH8" s="47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</row>
    <row r="9" spans="2:61" s="1" customFormat="1" ht="18" customHeight="1">
      <c r="C9" s="48"/>
      <c r="Q9" s="47"/>
      <c r="AH9" s="47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</row>
    <row r="10" spans="2:61" s="1" customFormat="1" ht="18.600000000000001" customHeight="1">
      <c r="C10" s="48"/>
      <c r="N10" s="93"/>
      <c r="Q10" s="47"/>
      <c r="AF10" s="91"/>
      <c r="AH10" s="47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</row>
    <row r="11" spans="2:61" s="1" customFormat="1" ht="18.600000000000001" customHeight="1">
      <c r="C11" s="48"/>
      <c r="N11" s="91"/>
      <c r="Q11" s="47"/>
      <c r="S11" s="91" t="s">
        <v>68</v>
      </c>
      <c r="T11" s="91"/>
      <c r="U11" s="92" t="s">
        <v>67</v>
      </c>
      <c r="V11" s="91" t="s">
        <v>66</v>
      </c>
      <c r="W11" s="91"/>
      <c r="X11" s="91"/>
      <c r="Y11" s="91"/>
      <c r="Z11" s="91" t="s">
        <v>65</v>
      </c>
      <c r="AA11" s="91" t="s">
        <v>64</v>
      </c>
      <c r="AB11" s="91"/>
      <c r="AC11" s="91"/>
      <c r="AD11" s="91"/>
      <c r="AF11" s="91"/>
      <c r="AH11" s="47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2:61" s="1" customFormat="1" ht="18.600000000000001" customHeight="1">
      <c r="C12" s="48"/>
      <c r="N12" s="91"/>
      <c r="Q12" s="47"/>
      <c r="S12" s="91"/>
      <c r="T12" s="91"/>
      <c r="U12" s="91" t="s">
        <v>63</v>
      </c>
      <c r="V12" s="91" t="s">
        <v>62</v>
      </c>
      <c r="W12" s="91"/>
      <c r="X12" s="91"/>
      <c r="Y12" s="91"/>
      <c r="Z12" s="91"/>
      <c r="AA12" s="91"/>
      <c r="AB12" s="91"/>
      <c r="AC12" s="91"/>
      <c r="AD12" s="91"/>
      <c r="AF12" s="91"/>
      <c r="AH12" s="47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2:61" s="1" customFormat="1" ht="18.600000000000001" customHeight="1">
      <c r="C13" s="48"/>
      <c r="N13" s="91"/>
      <c r="Q13" s="47"/>
      <c r="S13" s="91"/>
      <c r="T13" s="91"/>
      <c r="U13" s="91" t="s">
        <v>61</v>
      </c>
      <c r="V13" s="91" t="s">
        <v>60</v>
      </c>
      <c r="W13" s="91"/>
      <c r="X13" s="91"/>
      <c r="Y13" s="91"/>
      <c r="Z13" s="91"/>
      <c r="AA13" s="91"/>
      <c r="AB13" s="91"/>
      <c r="AC13" s="91"/>
      <c r="AD13" s="91"/>
      <c r="AF13" s="91"/>
      <c r="AH13" s="47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2:61" s="1" customFormat="1" ht="18" customHeight="1">
      <c r="C14" s="46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4"/>
      <c r="R14" s="45"/>
      <c r="S14" s="90"/>
      <c r="T14" s="90"/>
      <c r="U14" s="90" t="s">
        <v>59</v>
      </c>
      <c r="V14" s="90" t="s">
        <v>58</v>
      </c>
      <c r="W14" s="90"/>
      <c r="X14" s="90"/>
      <c r="Y14" s="90"/>
      <c r="Z14" s="90"/>
      <c r="AA14" s="90"/>
      <c r="AB14" s="90"/>
      <c r="AC14" s="90"/>
      <c r="AD14" s="90"/>
      <c r="AE14" s="45"/>
      <c r="AF14" s="45"/>
      <c r="AG14" s="45"/>
      <c r="AH14" s="44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2:61" s="1" customFormat="1" ht="18" customHeight="1">
      <c r="C15" s="19" t="s">
        <v>57</v>
      </c>
      <c r="L15" s="39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2:61" s="1" customFormat="1" ht="18" customHeight="1">
      <c r="D16" s="86" t="s">
        <v>56</v>
      </c>
      <c r="H16" s="2"/>
      <c r="J16" s="2" t="s">
        <v>52</v>
      </c>
      <c r="K16" s="88">
        <v>13</v>
      </c>
      <c r="L16" s="89"/>
      <c r="M16" s="1" t="s">
        <v>23</v>
      </c>
      <c r="R16" s="86" t="s">
        <v>55</v>
      </c>
      <c r="AA16" s="2" t="s">
        <v>52</v>
      </c>
      <c r="AB16" s="88">
        <v>1</v>
      </c>
      <c r="AC16" s="88"/>
      <c r="AD16" s="1" t="s">
        <v>23</v>
      </c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60" s="1" customFormat="1" ht="18" customHeight="1">
      <c r="D17" s="86" t="s">
        <v>54</v>
      </c>
      <c r="J17" s="2" t="s">
        <v>52</v>
      </c>
      <c r="K17" s="87">
        <v>10.3</v>
      </c>
      <c r="L17" s="87"/>
      <c r="M17" s="1" t="s">
        <v>51</v>
      </c>
      <c r="R17" s="86" t="s">
        <v>53</v>
      </c>
      <c r="Z17" s="2" t="s">
        <v>52</v>
      </c>
      <c r="AA17" s="85">
        <f>AM17-K17</f>
        <v>9.6999999999999993</v>
      </c>
      <c r="AB17" s="85"/>
      <c r="AC17" s="1" t="s">
        <v>51</v>
      </c>
      <c r="AM17" s="84">
        <v>20</v>
      </c>
      <c r="AN17" s="84"/>
      <c r="AO17" s="84"/>
      <c r="AP17" s="84"/>
      <c r="AQ17" s="84"/>
    </row>
    <row r="18" spans="3:60" s="1" customFormat="1" ht="18" customHeight="1">
      <c r="C18" s="6" t="s">
        <v>14</v>
      </c>
      <c r="D18" s="6"/>
      <c r="E18" s="6"/>
      <c r="F18" s="6"/>
      <c r="G18" s="6"/>
      <c r="H18" s="6"/>
      <c r="I18" s="6"/>
      <c r="J18" s="6"/>
      <c r="K18" s="6"/>
      <c r="L18" s="6"/>
      <c r="M18" s="6" t="s">
        <v>50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 t="s">
        <v>49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M18" s="70" t="s">
        <v>48</v>
      </c>
      <c r="AN18" s="70"/>
      <c r="AO18" s="70"/>
      <c r="AP18" s="83" t="s">
        <v>11</v>
      </c>
      <c r="AQ18" s="83"/>
      <c r="AR18" s="83"/>
      <c r="AS18" s="83"/>
      <c r="AT18" s="70" t="s">
        <v>3</v>
      </c>
      <c r="AU18" s="70"/>
      <c r="AV18" s="70"/>
      <c r="AW18" s="70"/>
    </row>
    <row r="19" spans="3:60" s="1" customFormat="1" ht="18" customHeight="1">
      <c r="C19" s="24" t="s">
        <v>47</v>
      </c>
      <c r="D19" s="24"/>
      <c r="E19" s="24"/>
      <c r="F19" s="24"/>
      <c r="G19" s="24"/>
      <c r="H19" s="24"/>
      <c r="I19" s="24"/>
      <c r="J19" s="24"/>
      <c r="K19" s="24"/>
      <c r="L19" s="24"/>
      <c r="M19" s="81">
        <f>AP19</f>
        <v>2767.18</v>
      </c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>
        <f>AT19</f>
        <v>2637.18</v>
      </c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2"/>
      <c r="AJ19" s="82"/>
      <c r="AK19" s="82"/>
      <c r="AL19" s="82"/>
      <c r="AM19" s="63" t="s">
        <v>38</v>
      </c>
      <c r="AN19" s="61"/>
      <c r="AO19" s="60"/>
      <c r="AP19" s="80">
        <v>2767.18</v>
      </c>
      <c r="AQ19" s="79"/>
      <c r="AR19" s="79"/>
      <c r="AS19" s="78"/>
      <c r="AT19" s="80">
        <v>2637.18</v>
      </c>
      <c r="AU19" s="79"/>
      <c r="AV19" s="79"/>
      <c r="AW19" s="78"/>
    </row>
    <row r="20" spans="3:60" s="1" customFormat="1" ht="18" customHeight="1">
      <c r="C20" s="24" t="s">
        <v>46</v>
      </c>
      <c r="D20" s="24"/>
      <c r="E20" s="24"/>
      <c r="F20" s="24"/>
      <c r="G20" s="24"/>
      <c r="H20" s="24"/>
      <c r="I20" s="24"/>
      <c r="J20" s="24"/>
      <c r="K20" s="24"/>
      <c r="L20" s="24"/>
      <c r="M20" s="81">
        <f>AP20</f>
        <v>732.45</v>
      </c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>
        <f>AT20</f>
        <v>732.45</v>
      </c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2"/>
      <c r="AJ20" s="82"/>
      <c r="AK20" s="82"/>
      <c r="AL20" s="82"/>
      <c r="AM20" s="63" t="s">
        <v>45</v>
      </c>
      <c r="AN20" s="61"/>
      <c r="AO20" s="60"/>
      <c r="AP20" s="80">
        <v>732.45</v>
      </c>
      <c r="AQ20" s="79"/>
      <c r="AR20" s="79"/>
      <c r="AS20" s="78"/>
      <c r="AT20" s="80">
        <v>732.45</v>
      </c>
      <c r="AU20" s="79"/>
      <c r="AV20" s="79"/>
      <c r="AW20" s="78"/>
      <c r="BH20" s="1" t="s">
        <v>44</v>
      </c>
    </row>
    <row r="21" spans="3:60" s="1" customFormat="1" ht="18" customHeight="1">
      <c r="C21" s="24" t="s">
        <v>18</v>
      </c>
      <c r="D21" s="24"/>
      <c r="E21" s="24"/>
      <c r="F21" s="24"/>
      <c r="G21" s="24"/>
      <c r="H21" s="24"/>
      <c r="I21" s="24"/>
      <c r="J21" s="24"/>
      <c r="K21" s="24"/>
      <c r="L21" s="24"/>
      <c r="M21" s="68">
        <f>ROUND($K$16/2-AP23,2)</f>
        <v>1.88</v>
      </c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81">
        <f>ROUND($K$16/2-AT23,2)</f>
        <v>1.98</v>
      </c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74"/>
      <c r="AJ21" s="74"/>
      <c r="AK21" s="74"/>
      <c r="AL21" s="74"/>
      <c r="AM21" s="63" t="s">
        <v>41</v>
      </c>
      <c r="AN21" s="61"/>
      <c r="AO21" s="60"/>
      <c r="AP21" s="80">
        <v>17143.48</v>
      </c>
      <c r="AQ21" s="79"/>
      <c r="AR21" s="79"/>
      <c r="AS21" s="78"/>
      <c r="AT21" s="77">
        <v>16298.48</v>
      </c>
      <c r="AU21" s="76"/>
      <c r="AV21" s="76"/>
      <c r="AW21" s="76"/>
    </row>
    <row r="22" spans="3:60" s="1" customFormat="1" ht="18" customHeight="1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36" t="str">
        <f>IF(M21&lt;$K$16/6,"(사다리꼴분포)","(삼각형분포)")</f>
        <v>(사다리꼴분포)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 t="str">
        <f>IF(X21&lt;$K$16/6,"(사다리꼴분포)","(삼각형분포)")</f>
        <v>(사다리꼴분포)</v>
      </c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M22" s="63" t="s">
        <v>39</v>
      </c>
      <c r="AN22" s="61"/>
      <c r="AO22" s="60"/>
      <c r="AP22" s="77">
        <v>4365.84</v>
      </c>
      <c r="AQ22" s="76"/>
      <c r="AR22" s="76"/>
      <c r="AS22" s="76"/>
      <c r="AT22" s="77">
        <v>4365.84</v>
      </c>
      <c r="AU22" s="76"/>
      <c r="AV22" s="76"/>
      <c r="AW22" s="76"/>
    </row>
    <row r="23" spans="3:60" s="1" customFormat="1" ht="18" customHeight="1">
      <c r="C23" s="24" t="s">
        <v>21</v>
      </c>
      <c r="D23" s="24"/>
      <c r="E23" s="24"/>
      <c r="F23" s="24"/>
      <c r="G23" s="24"/>
      <c r="H23" s="24" t="s">
        <v>20</v>
      </c>
      <c r="I23" s="24"/>
      <c r="J23" s="24"/>
      <c r="K23" s="24"/>
      <c r="L23" s="24"/>
      <c r="M23" s="75">
        <f>ROUND(IF(M22="(삼각형분포)",
(2/3)*M19/(K16*0.5-M21),IF(M22="(사다리꼴분포)",
(M19/K16)*(1+((6*M21)/K16))
)),2)</f>
        <v>397.56</v>
      </c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>
        <f>ROUND(IF(X22="(삼각형분포)",
(2/3)*X19/(K16*0.5-X21),IF(X22="(사다리꼴분포)",
(X19/K16)*(1+((6*X21)/K16))
)),2)</f>
        <v>388.24</v>
      </c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4"/>
      <c r="AJ23" s="74"/>
      <c r="AK23" s="74"/>
      <c r="AL23" s="74"/>
      <c r="AM23" s="3" t="s">
        <v>43</v>
      </c>
      <c r="AN23" s="3"/>
      <c r="AO23" s="3"/>
      <c r="AP23" s="3">
        <f>ROUND((AP21-AP22)/AP19,2)</f>
        <v>4.62</v>
      </c>
      <c r="AQ23" s="3"/>
      <c r="AR23" s="3"/>
      <c r="AS23" s="3"/>
      <c r="AT23" s="3">
        <f>ROUND((AT21-AT22)/AT19,2)</f>
        <v>4.5199999999999996</v>
      </c>
      <c r="AU23" s="3"/>
      <c r="AV23" s="3"/>
      <c r="AW23" s="3"/>
    </row>
    <row r="24" spans="3:60" s="1" customFormat="1" ht="18" customHeight="1">
      <c r="C24" s="24"/>
      <c r="D24" s="24"/>
      <c r="E24" s="24"/>
      <c r="F24" s="24"/>
      <c r="G24" s="24"/>
      <c r="H24" s="24" t="s">
        <v>19</v>
      </c>
      <c r="I24" s="24"/>
      <c r="J24" s="24"/>
      <c r="K24" s="24"/>
      <c r="L24" s="24"/>
      <c r="M24" s="75">
        <f>ROUND(IF(M22="(삼각형분포)",
0,IF(M22="(사다리꼴분포)",
(M19/K16)*(1-((6*M21)/K16))
)),2)</f>
        <v>28.16</v>
      </c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f>ROUND(IF(X22="(삼각형분포)",0,IF(X22="(사다리꼴분포)",
(X19/K16)*(1-((6*X21)/K16))
)),2)</f>
        <v>17.48</v>
      </c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4"/>
      <c r="AJ24" s="74"/>
      <c r="AK24" s="74"/>
      <c r="AL24" s="74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</row>
    <row r="25" spans="3:60" s="1" customFormat="1" ht="18" customHeight="1">
      <c r="C25" s="24" t="s">
        <v>17</v>
      </c>
      <c r="D25" s="24"/>
      <c r="E25" s="24"/>
      <c r="F25" s="24"/>
      <c r="G25" s="24"/>
      <c r="H25" s="24"/>
      <c r="I25" s="24"/>
      <c r="J25" s="24"/>
      <c r="K25" s="24"/>
      <c r="L25" s="24"/>
      <c r="M25" s="36">
        <f>IF(M21&gt;($K$16/6),3*($K$16/2-M21),$K$16)</f>
        <v>13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>
        <f>IF(X21&gt;($K$16/6),3*($K$16/2-X21),$K$16)</f>
        <v>13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22"/>
      <c r="AJ25" s="22"/>
      <c r="AK25" s="22"/>
      <c r="AL25" s="22"/>
      <c r="AM25" s="73" t="s">
        <v>42</v>
      </c>
      <c r="AN25" s="72"/>
      <c r="AO25" s="71"/>
      <c r="AP25" s="70" t="s">
        <v>11</v>
      </c>
      <c r="AQ25" s="70"/>
      <c r="AR25" s="70"/>
      <c r="AS25" s="70"/>
      <c r="AT25" s="69" t="s">
        <v>3</v>
      </c>
      <c r="AU25" s="69"/>
      <c r="AV25" s="69"/>
      <c r="AW25" s="69"/>
    </row>
    <row r="26" spans="3:60" s="1" customFormat="1" ht="18" customHeight="1">
      <c r="AM26" s="63" t="s">
        <v>41</v>
      </c>
      <c r="AN26" s="61"/>
      <c r="AO26" s="60"/>
      <c r="AP26" s="67">
        <f>AP21</f>
        <v>17143.48</v>
      </c>
      <c r="AQ26" s="67"/>
      <c r="AR26" s="67"/>
      <c r="AS26" s="67"/>
      <c r="AT26" s="67">
        <f>AT21</f>
        <v>16298.48</v>
      </c>
      <c r="AU26" s="67"/>
      <c r="AV26" s="67"/>
      <c r="AW26" s="67"/>
    </row>
    <row r="27" spans="3:60" s="1" customFormat="1" ht="18" customHeight="1">
      <c r="C27" s="19" t="s">
        <v>40</v>
      </c>
      <c r="P27" s="39"/>
      <c r="AM27" s="63" t="s">
        <v>39</v>
      </c>
      <c r="AN27" s="61"/>
      <c r="AO27" s="60"/>
      <c r="AP27" s="67">
        <f>AP22</f>
        <v>4365.84</v>
      </c>
      <c r="AQ27" s="67"/>
      <c r="AR27" s="67"/>
      <c r="AS27" s="67"/>
      <c r="AT27" s="67">
        <f>AT22</f>
        <v>4365.84</v>
      </c>
      <c r="AU27" s="67"/>
      <c r="AV27" s="67"/>
      <c r="AW27" s="67"/>
    </row>
    <row r="28" spans="3:60" s="1" customFormat="1" ht="18" customHeight="1">
      <c r="C28" s="6" t="s">
        <v>14</v>
      </c>
      <c r="D28" s="6"/>
      <c r="E28" s="6"/>
      <c r="F28" s="6"/>
      <c r="G28" s="6"/>
      <c r="H28" s="6"/>
      <c r="I28" s="6"/>
      <c r="J28" s="6"/>
      <c r="K28" s="6"/>
      <c r="L28" s="6"/>
      <c r="M28" s="6" t="str">
        <f>M18</f>
        <v>상시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 t="str">
        <f>X18</f>
        <v>지진시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/>
      <c r="AJ28" s="2"/>
      <c r="AK28" s="2"/>
      <c r="AL28" s="2"/>
      <c r="AM28" s="63" t="s">
        <v>38</v>
      </c>
      <c r="AN28" s="61"/>
      <c r="AO28" s="60"/>
      <c r="AP28" s="68">
        <f>AP19</f>
        <v>2767.18</v>
      </c>
      <c r="AQ28" s="67"/>
      <c r="AR28" s="67"/>
      <c r="AS28" s="67"/>
      <c r="AT28" s="68">
        <f>AT19</f>
        <v>2637.18</v>
      </c>
      <c r="AU28" s="67"/>
      <c r="AV28" s="67"/>
      <c r="AW28" s="67"/>
    </row>
    <row r="29" spans="3:60" s="1" customFormat="1" ht="18" customHeight="1">
      <c r="C29" s="24" t="s">
        <v>37</v>
      </c>
      <c r="D29" s="24"/>
      <c r="E29" s="24"/>
      <c r="F29" s="24"/>
      <c r="G29" s="24"/>
      <c r="H29" s="24"/>
      <c r="I29" s="24"/>
      <c r="J29" s="24"/>
      <c r="K29" s="24"/>
      <c r="L29" s="24"/>
      <c r="M29" s="36">
        <f>DEGREES(ATAN(M20/M19))</f>
        <v>14.825728745622419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>
        <f>DEGREES(ATAN(X20/X19))</f>
        <v>15.522093993082335</v>
      </c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22"/>
      <c r="AJ29" s="22"/>
      <c r="AK29" s="22"/>
      <c r="AL29" s="22"/>
      <c r="AM29" s="63" t="s">
        <v>9</v>
      </c>
      <c r="AN29" s="61"/>
      <c r="AO29" s="60"/>
      <c r="AP29" s="66">
        <f>ROUND((AP26-AP27)/AP28,2)</f>
        <v>4.62</v>
      </c>
      <c r="AQ29" s="66"/>
      <c r="AR29" s="66"/>
      <c r="AS29" s="66"/>
      <c r="AT29" s="66">
        <f>ROUND((AT26-AT27)/AT28,2)</f>
        <v>4.5199999999999996</v>
      </c>
      <c r="AU29" s="66"/>
      <c r="AV29" s="66"/>
      <c r="AW29" s="66"/>
    </row>
    <row r="30" spans="3:60" s="1" customFormat="1" ht="18" customHeight="1">
      <c r="C30" s="24" t="s">
        <v>36</v>
      </c>
      <c r="D30" s="24"/>
      <c r="E30" s="24"/>
      <c r="F30" s="24"/>
      <c r="G30" s="24"/>
      <c r="H30" s="24"/>
      <c r="I30" s="24"/>
      <c r="J30" s="24"/>
      <c r="K30" s="24"/>
      <c r="L30" s="24"/>
      <c r="M30" s="36">
        <f>ROUND(M25+$AB$16*(TAN(RADIANS(30+M29))+TAN(RADIANS(30-M29))),2)</f>
        <v>14.27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>
        <f>X25+$AB$16*(TAN(RADIANS(30+X29))+TAN(RADIANS(30-X29)))</f>
        <v>14.276598847275835</v>
      </c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22"/>
      <c r="AJ30" s="22"/>
      <c r="AK30" s="22"/>
      <c r="AL30" s="22"/>
      <c r="AM30" s="63" t="s">
        <v>8</v>
      </c>
      <c r="AN30" s="61"/>
      <c r="AO30" s="60"/>
      <c r="AP30" s="66">
        <f>AP29*2</f>
        <v>9.24</v>
      </c>
      <c r="AQ30" s="66"/>
      <c r="AR30" s="66"/>
      <c r="AS30" s="66"/>
      <c r="AT30" s="66">
        <f>AT29*2</f>
        <v>9.0399999999999991</v>
      </c>
      <c r="AU30" s="66"/>
      <c r="AV30" s="66"/>
      <c r="AW30" s="66"/>
    </row>
    <row r="31" spans="3:60" s="1" customFormat="1" ht="18" customHeight="1">
      <c r="C31" s="24" t="s">
        <v>35</v>
      </c>
      <c r="D31" s="24"/>
      <c r="E31" s="24"/>
      <c r="F31" s="24"/>
      <c r="G31" s="24"/>
      <c r="H31" s="24" t="s">
        <v>34</v>
      </c>
      <c r="I31" s="24"/>
      <c r="J31" s="24"/>
      <c r="K31" s="24"/>
      <c r="L31" s="24"/>
      <c r="M31" s="36">
        <f>(M25/M30)*M23+$AA$17*$AB$16</f>
        <v>371.87799579537494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>
        <f>(X25/X30)*X23+$AA$17*$AB$16</f>
        <v>363.22397682330745</v>
      </c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64"/>
      <c r="AJ31" s="64"/>
      <c r="AK31" s="64"/>
      <c r="AL31" s="64"/>
      <c r="AM31" s="63" t="s">
        <v>33</v>
      </c>
      <c r="AN31" s="61"/>
      <c r="AO31" s="60"/>
      <c r="AP31" s="65">
        <f>ROUND(AP28/AP30,2)</f>
        <v>299.48</v>
      </c>
      <c r="AQ31" s="65"/>
      <c r="AR31" s="65"/>
      <c r="AS31" s="65"/>
      <c r="AT31" s="65">
        <f>ROUND(AT28/AT30,2)</f>
        <v>291.72000000000003</v>
      </c>
      <c r="AU31" s="65"/>
      <c r="AV31" s="65"/>
      <c r="AW31" s="65"/>
    </row>
    <row r="32" spans="3:60" s="1" customFormat="1" ht="18" customHeight="1">
      <c r="C32" s="24"/>
      <c r="D32" s="24"/>
      <c r="E32" s="24"/>
      <c r="F32" s="24"/>
      <c r="G32" s="24"/>
      <c r="H32" s="24" t="s">
        <v>32</v>
      </c>
      <c r="I32" s="24"/>
      <c r="J32" s="24"/>
      <c r="K32" s="24"/>
      <c r="L32" s="24"/>
      <c r="M32" s="36">
        <f>(M25/M30)*M24+$AA$17*$AB$16</f>
        <v>35.353819201121233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>
        <f>(X25/X30)*X24+$AA$17*$AB$16</f>
        <v>25.616956302471188</v>
      </c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64"/>
      <c r="AJ32" s="64"/>
      <c r="AK32" s="64"/>
      <c r="AL32" s="64"/>
      <c r="AM32" s="63" t="s">
        <v>31</v>
      </c>
      <c r="AN32" s="61"/>
      <c r="AO32" s="60"/>
      <c r="AP32" s="62">
        <f>M59</f>
        <v>299.47835497835501</v>
      </c>
      <c r="AQ32" s="61"/>
      <c r="AR32" s="61"/>
      <c r="AS32" s="60"/>
      <c r="AT32" s="23">
        <f>X59</f>
        <v>291.72345132743368</v>
      </c>
      <c r="AU32" s="3"/>
      <c r="AV32" s="3"/>
      <c r="AW32" s="3"/>
    </row>
    <row r="33" spans="2:60" s="1" customFormat="1" ht="22.5" customHeight="1">
      <c r="M33" s="54"/>
      <c r="AM33" s="59" t="s">
        <v>30</v>
      </c>
      <c r="AN33" s="58"/>
      <c r="AO33" s="57"/>
      <c r="AP33" s="56" t="str">
        <f>IF(ROUND(AP31,1)=ROUND(AP32,1),"O.K","N.G")</f>
        <v>O.K</v>
      </c>
      <c r="AQ33" s="56"/>
      <c r="AR33" s="56"/>
      <c r="AS33" s="56"/>
      <c r="AT33" s="56" t="str">
        <f>IF(ROUND(AT31,1)=ROUND(AT32,1),"O.K","N.G")</f>
        <v>O.K</v>
      </c>
      <c r="AU33" s="56"/>
      <c r="AV33" s="56"/>
      <c r="AW33" s="56"/>
    </row>
    <row r="34" spans="2:60" s="1" customFormat="1" ht="22.5" customHeight="1">
      <c r="B34" s="55" t="s">
        <v>29</v>
      </c>
      <c r="D34" s="52"/>
      <c r="M34" s="54"/>
    </row>
    <row r="35" spans="2:60" s="1" customFormat="1" ht="22.5" customHeight="1">
      <c r="C35" s="53" t="s">
        <v>28</v>
      </c>
      <c r="D35" s="52"/>
      <c r="I35" s="39"/>
    </row>
    <row r="36" spans="2:60" s="1" customFormat="1" ht="22.5" customHeight="1">
      <c r="C36" s="51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49"/>
      <c r="AM36" s="35"/>
      <c r="AN36" s="35"/>
      <c r="AO36" s="35"/>
      <c r="AP36" s="35"/>
      <c r="AQ36" s="35"/>
      <c r="AR36" s="35"/>
      <c r="AS36" s="35"/>
    </row>
    <row r="37" spans="2:60" s="1" customFormat="1" ht="22.5" customHeight="1">
      <c r="C37" s="48"/>
      <c r="AH37" s="47"/>
    </row>
    <row r="38" spans="2:60" s="1" customFormat="1" ht="22.5" customHeight="1">
      <c r="C38" s="48"/>
      <c r="AH38" s="47"/>
    </row>
    <row r="39" spans="2:60" s="1" customFormat="1" ht="22.5" customHeight="1">
      <c r="C39" s="48"/>
      <c r="AH39" s="47"/>
    </row>
    <row r="40" spans="2:60" s="1" customFormat="1" ht="22.5" customHeight="1">
      <c r="C40" s="48"/>
      <c r="AH40" s="47"/>
    </row>
    <row r="41" spans="2:60" s="1" customFormat="1" ht="22.5" customHeight="1">
      <c r="C41" s="48"/>
      <c r="AH41" s="47"/>
    </row>
    <row r="42" spans="2:60" s="1" customFormat="1" ht="22.5" customHeight="1">
      <c r="C42" s="46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4"/>
    </row>
    <row r="43" spans="2:60" s="1" customFormat="1" ht="18" customHeight="1">
      <c r="C43" s="18" t="s">
        <v>27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/>
      <c r="S43" s="18" t="s">
        <v>26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6"/>
      <c r="AI43" s="33"/>
      <c r="AJ43" s="33"/>
      <c r="AK43" s="33"/>
      <c r="AL43" s="33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</row>
    <row r="44" spans="2:60" s="1" customFormat="1" ht="22.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2"/>
      <c r="AI44" s="2"/>
      <c r="AJ44" s="2"/>
      <c r="AK44" s="2"/>
      <c r="AL44" s="2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</row>
    <row r="45" spans="2:60" s="1" customFormat="1" ht="22.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0"/>
      <c r="AI45" s="2"/>
      <c r="AJ45" s="2"/>
      <c r="AK45" s="2"/>
      <c r="AL45" s="2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</row>
    <row r="46" spans="2:60" s="1" customFormat="1" ht="22.5" customHeight="1"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</row>
    <row r="47" spans="2:60" s="1" customFormat="1" ht="22.5" customHeight="1">
      <c r="C47" s="19" t="s">
        <v>25</v>
      </c>
      <c r="K47" s="39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</row>
    <row r="48" spans="2:60" s="1" customFormat="1" ht="22.5" customHeight="1">
      <c r="C48" s="34" t="s">
        <v>16</v>
      </c>
      <c r="D48" s="1" t="s">
        <v>24</v>
      </c>
      <c r="H48" s="38">
        <f>K16</f>
        <v>13</v>
      </c>
      <c r="I48" s="38"/>
      <c r="J48" s="1" t="s">
        <v>23</v>
      </c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</row>
    <row r="49" spans="3:60" s="1" customFormat="1" ht="22.5" customHeight="1">
      <c r="C49" s="34" t="s">
        <v>16</v>
      </c>
      <c r="D49" s="1" t="s">
        <v>22</v>
      </c>
      <c r="H49" s="37"/>
      <c r="I49" s="37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</row>
    <row r="50" spans="3:60" s="1" customFormat="1" ht="18" customHeight="1">
      <c r="C50" s="6" t="s">
        <v>14</v>
      </c>
      <c r="D50" s="6"/>
      <c r="E50" s="6"/>
      <c r="F50" s="6"/>
      <c r="G50" s="6"/>
      <c r="H50" s="6"/>
      <c r="I50" s="6"/>
      <c r="J50" s="6"/>
      <c r="K50" s="6"/>
      <c r="L50" s="6"/>
      <c r="M50" s="6" t="str">
        <f>M18</f>
        <v>상시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 t="str">
        <f>X18</f>
        <v>지진시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33"/>
      <c r="AJ50" s="33"/>
      <c r="AK50" s="33"/>
      <c r="AL50" s="33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</row>
    <row r="51" spans="3:60" s="1" customFormat="1" ht="18" customHeight="1">
      <c r="C51" s="24" t="s">
        <v>21</v>
      </c>
      <c r="D51" s="24"/>
      <c r="E51" s="24"/>
      <c r="F51" s="24"/>
      <c r="G51" s="24"/>
      <c r="H51" s="24" t="s">
        <v>20</v>
      </c>
      <c r="I51" s="24"/>
      <c r="J51" s="24"/>
      <c r="K51" s="24"/>
      <c r="L51" s="24"/>
      <c r="M51" s="36">
        <f>M23</f>
        <v>397.56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>
        <f>X23</f>
        <v>388.24</v>
      </c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22"/>
      <c r="AJ51" s="22"/>
      <c r="AK51" s="22"/>
      <c r="AL51" s="22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</row>
    <row r="52" spans="3:60" s="1" customFormat="1" ht="18" customHeight="1">
      <c r="C52" s="24"/>
      <c r="D52" s="24"/>
      <c r="E52" s="24"/>
      <c r="F52" s="24"/>
      <c r="G52" s="24"/>
      <c r="H52" s="24" t="s">
        <v>19</v>
      </c>
      <c r="I52" s="24"/>
      <c r="J52" s="24"/>
      <c r="K52" s="24"/>
      <c r="L52" s="24"/>
      <c r="M52" s="36">
        <f>M24</f>
        <v>28.16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>
        <f>X24</f>
        <v>17.48</v>
      </c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22"/>
      <c r="AJ52" s="22"/>
      <c r="AK52" s="22"/>
      <c r="AL52" s="22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</row>
    <row r="53" spans="3:60" s="1" customFormat="1" ht="18" customHeight="1">
      <c r="C53" s="24" t="s">
        <v>18</v>
      </c>
      <c r="D53" s="24"/>
      <c r="E53" s="24"/>
      <c r="F53" s="24"/>
      <c r="G53" s="24"/>
      <c r="H53" s="24"/>
      <c r="I53" s="24"/>
      <c r="J53" s="24"/>
      <c r="K53" s="24"/>
      <c r="L53" s="24"/>
      <c r="M53" s="36">
        <f>M21</f>
        <v>1.88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>
        <f>X21</f>
        <v>1.98</v>
      </c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22"/>
      <c r="AJ53" s="22"/>
      <c r="AK53" s="22"/>
      <c r="AL53" s="22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</row>
    <row r="54" spans="3:60" s="1" customFormat="1" ht="18" customHeight="1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36" t="str">
        <f>IF(M53&lt;$H$48/6,"(사다리꼴분포)","(삼각형분포)")</f>
        <v>(사다리꼴분포)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 t="str">
        <f>IF(X53&lt;$H$48/6,"(사다리꼴분포)","(삼각형분포)")</f>
        <v>(사다리꼴분포)</v>
      </c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22"/>
      <c r="AJ54" s="22"/>
      <c r="AK54" s="22"/>
      <c r="AL54" s="22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</row>
    <row r="55" spans="3:60" s="1" customFormat="1" ht="18" customHeight="1">
      <c r="C55" s="24" t="s">
        <v>17</v>
      </c>
      <c r="D55" s="24"/>
      <c r="E55" s="24"/>
      <c r="F55" s="24"/>
      <c r="G55" s="24"/>
      <c r="H55" s="24"/>
      <c r="I55" s="24"/>
      <c r="J55" s="24"/>
      <c r="K55" s="24"/>
      <c r="L55" s="24"/>
      <c r="M55" s="36">
        <f>M25</f>
        <v>13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>
        <f>X25</f>
        <v>13</v>
      </c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22"/>
      <c r="AJ55" s="22"/>
      <c r="AK55" s="22"/>
      <c r="AL55" s="22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</row>
    <row r="56" spans="3:60" s="1" customFormat="1" ht="18" customHeight="1"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</row>
    <row r="57" spans="3:60" s="1" customFormat="1" ht="18" customHeight="1">
      <c r="C57" s="34" t="s">
        <v>16</v>
      </c>
      <c r="D57" s="1" t="s">
        <v>15</v>
      </c>
    </row>
    <row r="58" spans="3:60" s="1" customFormat="1" ht="18" customHeight="1">
      <c r="C58" s="6" t="s">
        <v>14</v>
      </c>
      <c r="D58" s="6"/>
      <c r="E58" s="6"/>
      <c r="F58" s="6"/>
      <c r="G58" s="6"/>
      <c r="H58" s="6"/>
      <c r="I58" s="6"/>
      <c r="J58" s="6"/>
      <c r="K58" s="6"/>
      <c r="L58" s="6"/>
      <c r="M58" s="6" t="str">
        <f>M50</f>
        <v>상시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 t="str">
        <f>X50</f>
        <v>지진시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33"/>
      <c r="AJ58" s="33"/>
      <c r="AK58" s="33"/>
      <c r="AL58" s="33"/>
      <c r="AM58" s="32"/>
      <c r="AN58" s="32"/>
      <c r="AO58" s="32"/>
      <c r="AP58" s="32"/>
      <c r="AQ58" s="32"/>
      <c r="AR58" s="32"/>
      <c r="AS58" s="32"/>
      <c r="AX58" s="31"/>
    </row>
    <row r="59" spans="3:60" s="1" customFormat="1" ht="18" customHeight="1">
      <c r="C59" s="24" t="s">
        <v>13</v>
      </c>
      <c r="D59" s="24"/>
      <c r="E59" s="24"/>
      <c r="F59" s="24"/>
      <c r="G59" s="24"/>
      <c r="H59" s="24"/>
      <c r="I59" s="24"/>
      <c r="J59" s="24"/>
      <c r="K59" s="24"/>
      <c r="L59" s="24"/>
      <c r="M59" s="23">
        <f>IF(M53&lt;$H$48/6, (M51+M52)*$H$48/(4*M61),(M51*M55/(4*M61)))</f>
        <v>299.47835497835501</v>
      </c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>
        <f>IF(X53&lt;$H$48/6, (X51+X52)*$H$48/(4*X61),(X51*X55/(4*X61)))</f>
        <v>291.72345132743368</v>
      </c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2"/>
      <c r="AJ59" s="22"/>
      <c r="AK59" s="22"/>
      <c r="AL59" s="22"/>
      <c r="AM59" s="30" t="s">
        <v>12</v>
      </c>
      <c r="AN59" s="30"/>
      <c r="AO59" s="30" t="s">
        <v>11</v>
      </c>
      <c r="AP59" s="30"/>
      <c r="AQ59" s="30" t="s">
        <v>3</v>
      </c>
      <c r="AR59" s="30"/>
      <c r="AS59" s="20"/>
    </row>
    <row r="60" spans="3:60" s="1" customFormat="1" ht="18" customHeight="1">
      <c r="C60" s="24" t="s">
        <v>10</v>
      </c>
      <c r="D60" s="24"/>
      <c r="E60" s="24"/>
      <c r="F60" s="24"/>
      <c r="G60" s="24"/>
      <c r="H60" s="24"/>
      <c r="I60" s="24"/>
      <c r="J60" s="24"/>
      <c r="K60" s="24"/>
      <c r="L60" s="24"/>
      <c r="M60" s="23">
        <f>M20</f>
        <v>732.45</v>
      </c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>
        <f>X20</f>
        <v>732.45</v>
      </c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2"/>
      <c r="AJ60" s="22"/>
      <c r="AK60" s="22"/>
      <c r="AL60" s="22"/>
      <c r="AM60" s="30"/>
      <c r="AN60" s="30"/>
      <c r="AO60" s="29" t="s">
        <v>9</v>
      </c>
      <c r="AP60" s="29" t="s">
        <v>8</v>
      </c>
      <c r="AQ60" s="29" t="s">
        <v>9</v>
      </c>
      <c r="AR60" s="29" t="s">
        <v>8</v>
      </c>
      <c r="AS60" s="20"/>
    </row>
    <row r="61" spans="3:60" s="1" customFormat="1" ht="18" customHeight="1">
      <c r="C61" s="24" t="s">
        <v>7</v>
      </c>
      <c r="D61" s="24"/>
      <c r="E61" s="24"/>
      <c r="F61" s="24"/>
      <c r="G61" s="24"/>
      <c r="H61" s="24"/>
      <c r="I61" s="24"/>
      <c r="J61" s="24"/>
      <c r="K61" s="24"/>
      <c r="L61" s="24"/>
      <c r="M61" s="23">
        <f>($H$48/2-M53)</f>
        <v>4.62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>
        <f>($H$48/2-X53)</f>
        <v>4.5199999999999996</v>
      </c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2"/>
      <c r="AJ61" s="22"/>
      <c r="AK61" s="22"/>
      <c r="AL61" s="22"/>
      <c r="AM61" s="28">
        <v>-0.56000000000000005</v>
      </c>
      <c r="AN61" s="27"/>
      <c r="AO61" s="26">
        <f>M61+AM61</f>
        <v>4.0600000000000005</v>
      </c>
      <c r="AP61" s="25">
        <f>AM61+M62</f>
        <v>8.68</v>
      </c>
      <c r="AQ61" s="25">
        <f>AM61+X61</f>
        <v>3.9599999999999995</v>
      </c>
      <c r="AR61" s="25">
        <f>AM61+X62</f>
        <v>8.4799999999999986</v>
      </c>
      <c r="AS61" s="20"/>
    </row>
    <row r="62" spans="3:60" s="1" customFormat="1" ht="18" customHeight="1">
      <c r="C62" s="24" t="s">
        <v>6</v>
      </c>
      <c r="D62" s="24"/>
      <c r="E62" s="24"/>
      <c r="F62" s="24"/>
      <c r="G62" s="24"/>
      <c r="H62" s="24"/>
      <c r="I62" s="24"/>
      <c r="J62" s="24"/>
      <c r="K62" s="24"/>
      <c r="L62" s="24"/>
      <c r="M62" s="23">
        <f>M61*2</f>
        <v>9.24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>
        <f>X61*2</f>
        <v>9.0399999999999991</v>
      </c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2"/>
      <c r="AJ62" s="22"/>
      <c r="AK62" s="22"/>
      <c r="AL62" s="22"/>
      <c r="AM62" s="21"/>
      <c r="AN62" s="21"/>
      <c r="AO62" s="21"/>
      <c r="AP62" s="21"/>
      <c r="AQ62" s="21"/>
      <c r="AR62" s="20"/>
      <c r="AS62" s="20"/>
    </row>
    <row r="64" spans="3:60" s="1" customFormat="1" ht="22.5" customHeight="1">
      <c r="C64" s="19" t="s">
        <v>5</v>
      </c>
    </row>
    <row r="65" spans="3:38" s="1" customFormat="1" ht="18" customHeight="1">
      <c r="C65" s="18" t="str">
        <f>M18</f>
        <v>상시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6"/>
      <c r="AI65" s="2"/>
      <c r="AJ65" s="2"/>
      <c r="AK65" s="2"/>
      <c r="AL65" s="2"/>
    </row>
    <row r="66" spans="3:38" s="1" customFormat="1" ht="20.100000000000001" customHeight="1">
      <c r="C66" s="15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3"/>
    </row>
    <row r="67" spans="3:38" s="1" customFormat="1" ht="20.100000000000001" customHeight="1"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0"/>
    </row>
    <row r="68" spans="3:38" s="1" customFormat="1" ht="20.100000000000001" customHeight="1"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0"/>
    </row>
    <row r="69" spans="3:38" s="1" customFormat="1" ht="20.100000000000001" customHeight="1"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0"/>
    </row>
    <row r="70" spans="3:38" s="1" customFormat="1" ht="20.100000000000001" customHeight="1"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0"/>
    </row>
    <row r="71" spans="3:38" s="1" customFormat="1" ht="20.100000000000001" customHeight="1"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0"/>
    </row>
    <row r="72" spans="3:38" s="1" customFormat="1" ht="20.100000000000001" customHeight="1"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0"/>
    </row>
    <row r="73" spans="3:38" s="1" customFormat="1" ht="20.100000000000001" customHeight="1"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0"/>
    </row>
    <row r="74" spans="3:38" s="1" customFormat="1" ht="20.100000000000001" customHeight="1"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0"/>
    </row>
    <row r="75" spans="3:38" s="1" customFormat="1" ht="20.100000000000001" customHeight="1"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0"/>
    </row>
    <row r="76" spans="3:38" s="1" customFormat="1" ht="20.100000000000001" customHeight="1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7"/>
    </row>
    <row r="77" spans="3:38" s="1" customFormat="1" ht="18" customHeight="1">
      <c r="C77" s="6" t="s">
        <v>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 t="s">
        <v>1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 t="s">
        <v>0</v>
      </c>
      <c r="AB77" s="6"/>
      <c r="AC77" s="6"/>
      <c r="AD77" s="6"/>
      <c r="AE77" s="6"/>
      <c r="AF77" s="6"/>
      <c r="AG77" s="6"/>
      <c r="AH77" s="6"/>
      <c r="AI77" s="2"/>
      <c r="AJ77" s="2"/>
      <c r="AK77" s="2"/>
      <c r="AL77" s="2"/>
    </row>
    <row r="78" spans="3:38" s="1" customFormat="1" ht="18" customHeight="1">
      <c r="C78" s="5">
        <v>1.2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4">
        <v>1.494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3" t="str">
        <f>IF(C78&gt;O78,"N.G","O.K")</f>
        <v>O.K</v>
      </c>
      <c r="AB78" s="3"/>
      <c r="AC78" s="3"/>
      <c r="AD78" s="3"/>
      <c r="AE78" s="3"/>
      <c r="AF78" s="3"/>
      <c r="AG78" s="3"/>
      <c r="AH78" s="3"/>
      <c r="AI78" s="2"/>
      <c r="AJ78" s="2"/>
      <c r="AK78" s="2"/>
      <c r="AL78" s="2"/>
    </row>
    <row r="79" spans="3:38" s="1" customFormat="1" ht="15" customHeight="1"/>
    <row r="80" spans="3:38" s="1" customFormat="1" ht="18" customHeight="1">
      <c r="C80" s="18" t="s">
        <v>4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6"/>
      <c r="AI80" s="2"/>
      <c r="AJ80" s="2"/>
      <c r="AK80" s="2"/>
      <c r="AL80" s="2"/>
    </row>
    <row r="81" spans="3:38" s="1" customFormat="1" ht="20.100000000000001" customHeight="1"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3"/>
    </row>
    <row r="82" spans="3:38" s="1" customFormat="1" ht="20.100000000000001" customHeight="1"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0"/>
    </row>
    <row r="83" spans="3:38" s="1" customFormat="1" ht="20.100000000000001" customHeight="1"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0"/>
    </row>
    <row r="84" spans="3:38" s="1" customFormat="1" ht="20.100000000000001" customHeight="1"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0"/>
    </row>
    <row r="85" spans="3:38" s="1" customFormat="1" ht="20.100000000000001" customHeight="1"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0"/>
    </row>
    <row r="86" spans="3:38" s="1" customFormat="1" ht="20.100000000000001" customHeight="1"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0"/>
    </row>
    <row r="87" spans="3:38" s="1" customFormat="1" ht="20.100000000000001" customHeight="1"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0"/>
    </row>
    <row r="88" spans="3:38" s="1" customFormat="1" ht="20.100000000000001" customHeight="1"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0"/>
    </row>
    <row r="89" spans="3:38" s="1" customFormat="1" ht="20.100000000000001" customHeight="1"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0"/>
    </row>
    <row r="90" spans="3:38" s="1" customFormat="1" ht="20.100000000000001" customHeight="1"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0"/>
    </row>
    <row r="91" spans="3:38" s="1" customFormat="1" ht="20.100000000000001" customHeight="1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7"/>
    </row>
    <row r="92" spans="3:38" s="1" customFormat="1" ht="18" customHeight="1">
      <c r="C92" s="6" t="s">
        <v>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 t="s">
        <v>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 t="s">
        <v>0</v>
      </c>
      <c r="AB92" s="6"/>
      <c r="AC92" s="6"/>
      <c r="AD92" s="6"/>
      <c r="AE92" s="6"/>
      <c r="AF92" s="6"/>
      <c r="AG92" s="6"/>
      <c r="AH92" s="6"/>
      <c r="AI92" s="2"/>
      <c r="AJ92" s="2"/>
      <c r="AK92" s="2"/>
      <c r="AL92" s="2"/>
    </row>
    <row r="93" spans="3:38" s="1" customFormat="1" ht="18" customHeight="1">
      <c r="C93" s="5">
        <v>1.2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4">
        <v>1.494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3" t="str">
        <f>IF(C93&gt;O93,"N.G","O.K")</f>
        <v>O.K</v>
      </c>
      <c r="AB93" s="3"/>
      <c r="AC93" s="3"/>
      <c r="AD93" s="3"/>
      <c r="AE93" s="3"/>
      <c r="AF93" s="3"/>
      <c r="AG93" s="3"/>
      <c r="AH93" s="3"/>
      <c r="AI93" s="2"/>
      <c r="AJ93" s="2"/>
      <c r="AK93" s="2"/>
      <c r="AL93" s="2"/>
    </row>
  </sheetData>
  <mergeCells count="150">
    <mergeCell ref="AM17:AQ17"/>
    <mergeCell ref="AM18:AO18"/>
    <mergeCell ref="AP18:AS18"/>
    <mergeCell ref="AA17:AB17"/>
    <mergeCell ref="K2:N2"/>
    <mergeCell ref="O2:Q2"/>
    <mergeCell ref="K16:L16"/>
    <mergeCell ref="K17:L17"/>
    <mergeCell ref="AM20:AO20"/>
    <mergeCell ref="AP20:AS20"/>
    <mergeCell ref="AT20:AW20"/>
    <mergeCell ref="M20:W20"/>
    <mergeCell ref="AT18:AW18"/>
    <mergeCell ref="AM19:AO19"/>
    <mergeCell ref="AP19:AS19"/>
    <mergeCell ref="AT19:AW19"/>
    <mergeCell ref="M18:W18"/>
    <mergeCell ref="M19:W19"/>
    <mergeCell ref="AT22:AW22"/>
    <mergeCell ref="C23:G24"/>
    <mergeCell ref="AM23:AO23"/>
    <mergeCell ref="AP23:AS23"/>
    <mergeCell ref="AT23:AW23"/>
    <mergeCell ref="AM21:AO21"/>
    <mergeCell ref="AP21:AS21"/>
    <mergeCell ref="AT21:AW21"/>
    <mergeCell ref="AM22:AO22"/>
    <mergeCell ref="AP22:AS22"/>
    <mergeCell ref="AT25:AW25"/>
    <mergeCell ref="AM26:AO26"/>
    <mergeCell ref="AP26:AS26"/>
    <mergeCell ref="AT26:AW26"/>
    <mergeCell ref="AM27:AO27"/>
    <mergeCell ref="AP27:AS27"/>
    <mergeCell ref="AT27:AW27"/>
    <mergeCell ref="AM25:AO25"/>
    <mergeCell ref="AP25:AS25"/>
    <mergeCell ref="AM29:AO29"/>
    <mergeCell ref="AP29:AS29"/>
    <mergeCell ref="AT29:AW29"/>
    <mergeCell ref="AM28:AO28"/>
    <mergeCell ref="AP28:AS28"/>
    <mergeCell ref="AT28:AW28"/>
    <mergeCell ref="AM30:AO30"/>
    <mergeCell ref="AP30:AS30"/>
    <mergeCell ref="AT30:AW30"/>
    <mergeCell ref="C30:L30"/>
    <mergeCell ref="M30:W30"/>
    <mergeCell ref="X30:AH30"/>
    <mergeCell ref="M31:W31"/>
    <mergeCell ref="C31:G32"/>
    <mergeCell ref="AM31:AO31"/>
    <mergeCell ref="AP31:AS31"/>
    <mergeCell ref="M32:W32"/>
    <mergeCell ref="X31:AH31"/>
    <mergeCell ref="X32:AH32"/>
    <mergeCell ref="AM33:AO33"/>
    <mergeCell ref="AP33:AS33"/>
    <mergeCell ref="AT33:AW33"/>
    <mergeCell ref="AT31:AW31"/>
    <mergeCell ref="AM32:AO32"/>
    <mergeCell ref="AP32:AS32"/>
    <mergeCell ref="AT32:AW32"/>
    <mergeCell ref="AO59:AP59"/>
    <mergeCell ref="AQ59:AR59"/>
    <mergeCell ref="C59:L59"/>
    <mergeCell ref="C58:L58"/>
    <mergeCell ref="H48:I48"/>
    <mergeCell ref="C51:G52"/>
    <mergeCell ref="C80:AH80"/>
    <mergeCell ref="C81:AH91"/>
    <mergeCell ref="C77:N77"/>
    <mergeCell ref="C78:N78"/>
    <mergeCell ref="AM61:AN61"/>
    <mergeCell ref="AM59:AN60"/>
    <mergeCell ref="AB16:AC16"/>
    <mergeCell ref="C28:L28"/>
    <mergeCell ref="C29:L29"/>
    <mergeCell ref="M29:W29"/>
    <mergeCell ref="M28:W28"/>
    <mergeCell ref="X28:AH28"/>
    <mergeCell ref="X29:AH29"/>
    <mergeCell ref="M21:W21"/>
    <mergeCell ref="M22:W22"/>
    <mergeCell ref="M23:W23"/>
    <mergeCell ref="M24:W24"/>
    <mergeCell ref="M25:W25"/>
    <mergeCell ref="X18:AH18"/>
    <mergeCell ref="X19:AH19"/>
    <mergeCell ref="X20:AH20"/>
    <mergeCell ref="X21:AH21"/>
    <mergeCell ref="X22:AH22"/>
    <mergeCell ref="C18:L18"/>
    <mergeCell ref="C19:L19"/>
    <mergeCell ref="C20:L20"/>
    <mergeCell ref="C21:L22"/>
    <mergeCell ref="H23:L23"/>
    <mergeCell ref="H24:L24"/>
    <mergeCell ref="S43:AH43"/>
    <mergeCell ref="S44:AH45"/>
    <mergeCell ref="C43:R43"/>
    <mergeCell ref="C44:R45"/>
    <mergeCell ref="X23:AH23"/>
    <mergeCell ref="X24:AH24"/>
    <mergeCell ref="X25:AH25"/>
    <mergeCell ref="C25:L25"/>
    <mergeCell ref="H31:L31"/>
    <mergeCell ref="H32:L32"/>
    <mergeCell ref="X50:AH50"/>
    <mergeCell ref="X51:AH51"/>
    <mergeCell ref="X52:AH52"/>
    <mergeCell ref="X53:AH53"/>
    <mergeCell ref="X54:AH54"/>
    <mergeCell ref="X55:AH55"/>
    <mergeCell ref="X58:AH58"/>
    <mergeCell ref="X59:AH59"/>
    <mergeCell ref="X60:AH60"/>
    <mergeCell ref="X61:AH61"/>
    <mergeCell ref="X62:AH62"/>
    <mergeCell ref="C50:L50"/>
    <mergeCell ref="H51:L51"/>
    <mergeCell ref="H52:L52"/>
    <mergeCell ref="C53:L54"/>
    <mergeCell ref="C55:L55"/>
    <mergeCell ref="C60:L60"/>
    <mergeCell ref="C61:L61"/>
    <mergeCell ref="C62:L62"/>
    <mergeCell ref="M50:W50"/>
    <mergeCell ref="M51:W51"/>
    <mergeCell ref="M52:W52"/>
    <mergeCell ref="M53:W53"/>
    <mergeCell ref="M54:W54"/>
    <mergeCell ref="M55:W55"/>
    <mergeCell ref="M58:W58"/>
    <mergeCell ref="O78:Z78"/>
    <mergeCell ref="O77:Z77"/>
    <mergeCell ref="AA77:AH77"/>
    <mergeCell ref="AA78:AH78"/>
    <mergeCell ref="M59:W59"/>
    <mergeCell ref="M60:W60"/>
    <mergeCell ref="M61:W61"/>
    <mergeCell ref="M62:W62"/>
    <mergeCell ref="C65:AH65"/>
    <mergeCell ref="C66:AH76"/>
    <mergeCell ref="C92:N92"/>
    <mergeCell ref="O92:Z92"/>
    <mergeCell ref="AA92:AH92"/>
    <mergeCell ref="C93:N93"/>
    <mergeCell ref="O93:Z93"/>
    <mergeCell ref="AA93:AH93"/>
  </mergeCells>
  <phoneticPr fontId="3" type="noConversion"/>
  <pageMargins left="0.74803149606299213" right="0.74803149606299213" top="0.98425196850393704" bottom="0.98425196850393704" header="0.51181102362204722" footer="0.74803149606299213"/>
  <pageSetup paperSize="9" scale="77" fitToHeight="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18</xdr:col>
                <xdr:colOff>0</xdr:colOff>
                <xdr:row>6</xdr:row>
                <xdr:rowOff>161925</xdr:rowOff>
              </from>
              <to>
                <xdr:col>32</xdr:col>
                <xdr:colOff>133350</xdr:colOff>
                <xdr:row>7</xdr:row>
                <xdr:rowOff>209550</xdr:rowOff>
              </to>
            </anchor>
          </objectPr>
        </oleObject>
      </mc:Choice>
      <mc:Fallback>
        <oleObject progId="Equation.3" shapeId="2049" r:id="rId4"/>
      </mc:Fallback>
    </mc:AlternateContent>
    <mc:AlternateContent xmlns:mc="http://schemas.openxmlformats.org/markup-compatibility/2006">
      <mc:Choice Requires="x14">
        <oleObject progId="Equation.3" shapeId="2050" r:id="rId6">
          <objectPr defaultSize="0" autoPict="0" r:id="rId7">
            <anchor moveWithCells="1">
              <from>
                <xdr:col>18</xdr:col>
                <xdr:colOff>0</xdr:colOff>
                <xdr:row>4</xdr:row>
                <xdr:rowOff>28575</xdr:rowOff>
              </from>
              <to>
                <xdr:col>25</xdr:col>
                <xdr:colOff>152400</xdr:colOff>
                <xdr:row>6</xdr:row>
                <xdr:rowOff>85725</xdr:rowOff>
              </to>
            </anchor>
          </objectPr>
        </oleObject>
      </mc:Choice>
      <mc:Fallback>
        <oleObject progId="Equation.3" shapeId="2050" r:id="rId6"/>
      </mc:Fallback>
    </mc:AlternateContent>
    <mc:AlternateContent xmlns:mc="http://schemas.openxmlformats.org/markup-compatibility/2006">
      <mc:Choice Requires="x14">
        <oleObject progId="Equation.3" shapeId="2051" r:id="rId8">
          <objectPr defaultSize="0" autoPict="0" r:id="rId9">
            <anchor moveWithCells="1">
              <from>
                <xdr:col>18</xdr:col>
                <xdr:colOff>19050</xdr:colOff>
                <xdr:row>7</xdr:row>
                <xdr:rowOff>200025</xdr:rowOff>
              </from>
              <to>
                <xdr:col>24</xdr:col>
                <xdr:colOff>76200</xdr:colOff>
                <xdr:row>9</xdr:row>
                <xdr:rowOff>200025</xdr:rowOff>
              </to>
            </anchor>
          </objectPr>
        </oleObject>
      </mc:Choice>
      <mc:Fallback>
        <oleObject progId="Equation.3" shapeId="2051" r:id="rId8"/>
      </mc:Fallback>
    </mc:AlternateContent>
    <mc:AlternateContent xmlns:mc="http://schemas.openxmlformats.org/markup-compatibility/2006">
      <mc:Choice Requires="x14">
        <oleObject progId="Equation.3" shapeId="2052" r:id="rId10">
          <objectPr defaultSize="0" autoPict="0" r:id="rId11">
            <anchor moveWithCells="1">
              <from>
                <xdr:col>5</xdr:col>
                <xdr:colOff>123825</xdr:colOff>
                <xdr:row>43</xdr:row>
                <xdr:rowOff>76200</xdr:rowOff>
              </from>
              <to>
                <xdr:col>13</xdr:col>
                <xdr:colOff>190500</xdr:colOff>
                <xdr:row>44</xdr:row>
                <xdr:rowOff>247650</xdr:rowOff>
              </to>
            </anchor>
          </objectPr>
        </oleObject>
      </mc:Choice>
      <mc:Fallback>
        <oleObject progId="Equation.3" shapeId="2052" r:id="rId10"/>
      </mc:Fallback>
    </mc:AlternateContent>
    <mc:AlternateContent xmlns:mc="http://schemas.openxmlformats.org/markup-compatibility/2006">
      <mc:Choice Requires="x14">
        <oleObject progId="Equation.3" shapeId="2053" r:id="rId12">
          <objectPr defaultSize="0" autoPict="0" r:id="rId13">
            <anchor moveWithCells="1">
              <from>
                <xdr:col>22</xdr:col>
                <xdr:colOff>171450</xdr:colOff>
                <xdr:row>43</xdr:row>
                <xdr:rowOff>57150</xdr:rowOff>
              </from>
              <to>
                <xdr:col>28</xdr:col>
                <xdr:colOff>123825</xdr:colOff>
                <xdr:row>44</xdr:row>
                <xdr:rowOff>238125</xdr:rowOff>
              </to>
            </anchor>
          </objectPr>
        </oleObject>
      </mc:Choice>
      <mc:Fallback>
        <oleObject progId="Equation.3" shapeId="2053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편심하중</vt:lpstr>
      <vt:lpstr>편심하중!Print_Area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조민규</dc:creator>
  <cp:lastModifiedBy>조민규</cp:lastModifiedBy>
  <dcterms:created xsi:type="dcterms:W3CDTF">2026-06-08T07:33:17Z</dcterms:created>
  <dcterms:modified xsi:type="dcterms:W3CDTF">2026-06-08T08:54:49Z</dcterms:modified>
</cp:coreProperties>
</file>